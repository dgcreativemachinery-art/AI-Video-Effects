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Brand" sheetId="1" state="visible" r:id="rId3"/>
    <sheet name="Shot_List" sheetId="2" state="visible" r:id="rId4"/>
    <sheet name="AI_Prompts" sheetId="3" state="visible" r:id="rId5"/>
    <sheet name="Original_BRoll" sheetId="4" state="visible" r:id="rId6"/>
    <sheet name="VO_Script" sheetId="5" state="visible" r:id="rId7"/>
    <sheet name="Spec_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Placeholder from reference video — confirm.</t>
        </r>
      </text>
    </comment>
  </commentList>
</comments>
</file>

<file path=xl/sharedStrings.xml><?xml version="1.0" encoding="utf-8"?>
<sst xmlns="http://schemas.openxmlformats.org/spreadsheetml/2006/main" count="430" uniqueCount="269">
  <si>
    <t xml:space="preserve">DG Tech Machinery — IV Drip Set Solution Video</t>
  </si>
  <si>
    <t xml:space="preserve">Production workbook. Reference: Hi Tech Machinery 'IV Drip Set' solution video (84 s, 16:9). Is style mein DG branding ke saath banana hai.</t>
  </si>
  <si>
    <t xml:space="preserve">HOW TO USE</t>
  </si>
  <si>
    <t xml:space="preserve">Yellow cells</t>
  </si>
  <si>
    <t xml:space="preserve">Yeh aapko bharne / confirm karne hain (machine specs, file names, status).</t>
  </si>
  <si>
    <t xml:space="preserve">Shot_List</t>
  </si>
  <si>
    <t xml:space="preserve">Poori video ka master timeline. Har scene ka Source batata hai: AI Image, AI Video, Original B-Roll (aap denge), ya Motion Graphic.</t>
  </si>
  <si>
    <t xml:space="preserve">AI_Prompts</t>
  </si>
  <si>
    <t xml:space="preserve">Jo scenes AI se banenge unke ready-to-paste prompts (image + image-to-video).</t>
  </si>
  <si>
    <t xml:space="preserve">Original_BRoll</t>
  </si>
  <si>
    <t xml:space="preserve">Jo footage aapko apni factory / DG machine se shoot karke dena hai — checklist + file naming.</t>
  </si>
  <si>
    <t xml:space="preserve">VO_Script</t>
  </si>
  <si>
    <t xml:space="preserve">DG Tech Machinery voiceover — English + Hinglish dono, timing ke saath.</t>
  </si>
  <si>
    <t xml:space="preserve">Spec_Card</t>
  </si>
  <si>
    <t xml:space="preserve">Opening 'Solution Information' card ka data — apni machine ke real numbers daalein.</t>
  </si>
  <si>
    <t xml:space="preserve">BRAND KIT</t>
  </si>
  <si>
    <t xml:space="preserve">Brand name</t>
  </si>
  <si>
    <t xml:space="preserve">DG Tech Machinery</t>
  </si>
  <si>
    <t xml:space="preserve">Logo placement</t>
  </si>
  <si>
    <t xml:space="preserve">Top-left corner, har scene par (reference jaisa) — ~90 px height @1080p, 40 px margin. Outro: center, white background.</t>
  </si>
  <si>
    <t xml:space="preserve">Primary colour</t>
  </si>
  <si>
    <t xml:space="preserve">Navy #0B2A5B (confirm with your logo)</t>
  </si>
  <si>
    <t xml:space="preserve">Accent colour</t>
  </si>
  <si>
    <t xml:space="preserve">Orange #F26A21 — highlight word in captions (e.g. 'IV Drip Set' orange, baaki white)</t>
  </si>
  <si>
    <t xml:space="preserve">Background</t>
  </si>
  <si>
    <t xml:space="preserve">Clean white / light grey #F2F4F7 for cards; product renders on soft white-blue gradient</t>
  </si>
  <si>
    <t xml:space="preserve">Fonts</t>
  </si>
  <si>
    <t xml:space="preserve">Headings: Poppins SemiBold · Body/captions: Poppins Regular / Inter</t>
  </si>
  <si>
    <t xml:space="preserve">Caption style</t>
  </si>
  <si>
    <t xml:space="preserve">Bottom-left, small, 2 colour (accent word + white). Fade in 0.3 s.</t>
  </si>
  <si>
    <t xml:space="preserve">Format</t>
  </si>
  <si>
    <t xml:space="preserve">1920×1080, 16:9, 24 or 30 fps, MP4 H.264. Vertical 9:16 cut optional.</t>
  </si>
  <si>
    <t xml:space="preserve">Target length</t>
  </si>
  <si>
    <t xml:space="preserve">≈ 85 s (Shot_List total formula se check karein)</t>
  </si>
  <si>
    <t xml:space="preserve">Music</t>
  </si>
  <si>
    <t xml:space="preserve">Corporate / tech ambient, 90–110 BPM, royalty-free (Artlist / Epidemic / ElevenLabs Music). VO ke neeche −18 dB.</t>
  </si>
  <si>
    <t xml:space="preserve">Voice</t>
  </si>
  <si>
    <t xml:space="preserve">Male, confident, warm industrial-corporate tone. ElevenLabs settings VO_Script tab mein.</t>
  </si>
  <si>
    <t xml:space="preserve">Shot List / Master Timeline</t>
  </si>
  <si>
    <t xml:space="preserve">Start &amp; End seconds mein. Duration formula hai. Source: AI Image · AI Video · Original B-Roll · Motion Graphic.</t>
  </si>
  <si>
    <t xml:space="preserve">Scene</t>
  </si>
  <si>
    <t xml:space="preserve">Section</t>
  </si>
  <si>
    <t xml:space="preserve">Start (s)</t>
  </si>
  <si>
    <t xml:space="preserve">End (s)</t>
  </si>
  <si>
    <t xml:space="preserve">Duration (s)</t>
  </si>
  <si>
    <t xml:space="preserve">Source</t>
  </si>
  <si>
    <t xml:space="preserve">Visual description</t>
  </si>
  <si>
    <t xml:space="preserve">On-screen text</t>
  </si>
  <si>
    <t xml:space="preserve">Transition</t>
  </si>
  <si>
    <t xml:space="preserve">SFX</t>
  </si>
  <si>
    <t xml:space="preserve">Status</t>
  </si>
  <si>
    <t xml:space="preserve">Opening card</t>
  </si>
  <si>
    <t xml:space="preserve">Motion Graphic</t>
  </si>
  <si>
    <t xml:space="preserve">White card 'Solution Information'. Product photo left, specs animate in line-by-line (Spec_Card tab).</t>
  </si>
  <si>
    <t xml:space="preserve">Solution Information · Product · Cavities · Production/Hour · Cycle Time · Material</t>
  </si>
  <si>
    <t xml:space="preserve">Fade from white</t>
  </si>
  <si>
    <t xml:space="preserve">Soft whoosh per line</t>
  </si>
  <si>
    <t xml:space="preserve">To Do</t>
  </si>
  <si>
    <t xml:space="preserve">Hook</t>
  </si>
  <si>
    <t xml:space="preserve">AI Video</t>
  </si>
  <si>
    <t xml:space="preserve">Macro: clear drip chamber with spike tip, slow push-in, soft white light.</t>
  </si>
  <si>
    <t xml:space="preserve">Servo-Hybrid | IV Drip Set | Manufacturing</t>
  </si>
  <si>
    <t xml:space="preserve">Cross-dissolve</t>
  </si>
  <si>
    <t xml:space="preserve">Low hum</t>
  </si>
  <si>
    <t xml:space="preserve">Macro: blue roller-clamp body sliding onto PVC tube.</t>
  </si>
  <si>
    <t xml:space="preserve">(same caption continues)</t>
  </si>
  <si>
    <t xml:space="preserve">Hard cut</t>
  </si>
  <si>
    <t xml:space="preserve">Click</t>
  </si>
  <si>
    <t xml:space="preserve">Machine</t>
  </si>
  <si>
    <t xml:space="preserve">Original B-Roll</t>
  </si>
  <si>
    <t xml:space="preserve">Finished IV set on white tray on conveyor / output table of DG machine.</t>
  </si>
  <si>
    <t xml:space="preserve">—</t>
  </si>
  <si>
    <t xml:space="preserve">Cut</t>
  </si>
  <si>
    <t xml:space="preserve">Conveyor</t>
  </si>
  <si>
    <t xml:space="preserve">Hero wide shot: DG Tech Machinery injection moulding machine in clean room, DG logo clearly visible. Slow slider move.</t>
  </si>
  <si>
    <t xml:space="preserve">DG Tech Machinery Servo-Hybrid Series</t>
  </si>
  <si>
    <t xml:space="preserve">Machine ambience</t>
  </si>
  <si>
    <t xml:space="preserve">Raw material</t>
  </si>
  <si>
    <t xml:space="preserve">Extreme macro PP/PVC granules pouring / falling, shallow DOF.</t>
  </si>
  <si>
    <t xml:space="preserve">Material: PP/PE · ABS · PVC</t>
  </si>
  <si>
    <t xml:space="preserve">Dissolve</t>
  </si>
  <si>
    <t xml:space="preserve">Granules rain</t>
  </si>
  <si>
    <t xml:space="preserve">Components</t>
  </si>
  <si>
    <t xml:space="preserve">IV set at top, 7 component tiles bottom (Roller Flow Control Clamp, Roller Wheel, Spike, Spike Cap, Air Vent, Drip Chamber, Luer Lock Connector). Each tile highlights in turn.</t>
  </si>
  <si>
    <t xml:space="preserve">01–07 component labels</t>
  </si>
  <si>
    <t xml:space="preserve">Scale-in</t>
  </si>
  <si>
    <t xml:space="preserve">Tick per tile</t>
  </si>
  <si>
    <t xml:space="preserve">Moulding</t>
  </si>
  <si>
    <t xml:space="preserve">Mould opens on DG machine, ejected parts (e.g. blue clamps) visible.</t>
  </si>
  <si>
    <t xml:space="preserve">Mould open</t>
  </si>
  <si>
    <t xml:space="preserve">PVC tubing bundles / extrusion line.</t>
  </si>
  <si>
    <t xml:space="preserve">Component heroes</t>
  </si>
  <si>
    <t xml:space="preserve">Roller flow control clamp on tube, 360° slow turn, white studio.</t>
  </si>
  <si>
    <t xml:space="preserve">Roller Flow Control Clamp</t>
  </si>
  <si>
    <t xml:space="preserve">Swish</t>
  </si>
  <si>
    <t xml:space="preserve">Spike — dark gradient background, rim light, slow slide.</t>
  </si>
  <si>
    <t xml:space="preserve">Spike</t>
  </si>
  <si>
    <t xml:space="preserve">Spike cap, frosted translucent, soft spotlight.</t>
  </si>
  <si>
    <t xml:space="preserve">Spike Cap</t>
  </si>
  <si>
    <t xml:space="preserve">Drip chamber with tube, vertical, light blue gradient.</t>
  </si>
  <si>
    <t xml:space="preserve">Drip Chamber</t>
  </si>
  <si>
    <t xml:space="preserve">Drip</t>
  </si>
  <si>
    <t xml:space="preserve">Luer lock connector with white cap on tube, macro.</t>
  </si>
  <si>
    <t xml:space="preserve">Luer Lock Connector</t>
  </si>
  <si>
    <t xml:space="preserve">AI Image</t>
  </si>
  <si>
    <t xml:space="preserve">All 7 components lined up on reflective white surface (Ken Burns push-in).</t>
  </si>
  <si>
    <t xml:space="preserve">Production</t>
  </si>
  <si>
    <t xml:space="preserve">Gloved hands holding freshly moulded parts (QC check).</t>
  </si>
  <si>
    <t xml:space="preserve">Inside mould close-up — cavities, blue water lines.</t>
  </si>
  <si>
    <t xml:space="preserve">64 Cavities</t>
  </si>
  <si>
    <t xml:space="preserve">Hydraulic hiss</t>
  </si>
  <si>
    <t xml:space="preserve">Assembly</t>
  </si>
  <si>
    <t xml:space="preserve">Tubing on conveyor, coiled tubes, clean-room worker.</t>
  </si>
  <si>
    <t xml:space="preserve">Automatic IV set assembly line — wide + close detail of gauges/robot.</t>
  </si>
  <si>
    <t xml:space="preserve">Fully Automatic Assembly</t>
  </si>
  <si>
    <t xml:space="preserve">Machine rhythm</t>
  </si>
  <si>
    <t xml:space="preserve">Packing</t>
  </si>
  <si>
    <t xml:space="preserve">Gloved hand picking finished IV sets from crates.</t>
  </si>
  <si>
    <t xml:space="preserve">Application</t>
  </si>
  <si>
    <t xml:space="preserve">IV set hanging in hospital, patient monitor ECG lines in background bokeh.</t>
  </si>
  <si>
    <t xml:space="preserve">Trusted in Hospitals</t>
  </si>
  <si>
    <t xml:space="preserve">Heartbeat beep</t>
  </si>
  <si>
    <t xml:space="preserve">Doctor in white coat facing holographic medical screens (back view).</t>
  </si>
  <si>
    <t xml:space="preserve">Rise</t>
  </si>
  <si>
    <t xml:space="preserve">Outro</t>
  </si>
  <si>
    <t xml:space="preserve">White background, DG Tech Machinery logo animates in center + website / phone.</t>
  </si>
  <si>
    <t xml:space="preserve">www.____ · +91 ____</t>
  </si>
  <si>
    <t xml:space="preserve">Fade to white</t>
  </si>
  <si>
    <t xml:space="preserve">Logo sting</t>
  </si>
  <si>
    <t xml:space="preserve">Total (s)</t>
  </si>
  <si>
    <t xml:space="preserve">AI Generation Prompts</t>
  </si>
  <si>
    <t xml:space="preserve">Step 1: Image prompt se still banayein (Nano Banana / Flux / Ideogram). Step 2: us image ko Kling / Veo / Higgsfield mein image-to-video karein. 16:9.</t>
  </si>
  <si>
    <t xml:space="preserve">Type</t>
  </si>
  <si>
    <t xml:space="preserve">Image prompt (Step 1)</t>
  </si>
  <si>
    <t xml:space="preserve">Negative prompt</t>
  </si>
  <si>
    <t xml:space="preserve">Motion prompt (Step 2, image-to-video)</t>
  </si>
  <si>
    <t xml:space="preserve">Clip length (s)</t>
  </si>
  <si>
    <t xml:space="preserve">Aspect</t>
  </si>
  <si>
    <t xml:space="preserve">Output file name</t>
  </si>
  <si>
    <t xml:space="preserve">Extreme macro of a transparent IV drip chamber with a white spike on top, liquid-clear plastic, ultra-clean medical product photography, soft white-blue gradient background, high-key studio lighting, shallow depth of field, photoreal, 8k, no text, no logo</t>
  </si>
  <si>
    <t xml:space="preserve">text, watermark, logo, brand names, blurry, deformed plastic, extra parts, dirty, fingerprints, cartoon</t>
  </si>
  <si>
    <t xml:space="preserve">Slow push-in, light glint travels across plastic, 4 s</t>
  </si>
  <si>
    <t xml:space="preserve">16:9</t>
  </si>
  <si>
    <t xml:space="preserve">Macro of a blue plastic roller flow control clamp with white roller wheel on a transparent PVC tube, ultra-clean medical product photography, soft white-blue gradient background, high-key studio lighting, shallow depth of field, photoreal, 8k, no text, no logo</t>
  </si>
  <si>
    <t xml:space="preserve">Slow lateral slide left to right, 3 s</t>
  </si>
  <si>
    <t xml:space="preserve">Extreme macro of white and translucent polypropylene plastic granules falling and piling up, industrial raw material, cinematic backlight, shallow depth of field, photoreal, no text</t>
  </si>
  <si>
    <t xml:space="preserve">Granules pour continuously, slow motion 120fps feel, 5 s</t>
  </si>
  <si>
    <t xml:space="preserve">White plastic roller flow control clamp mounted on a clear medical tube, lying on glossy white surface, ultra-clean medical product photography, soft white-blue gradient background, high-key studio lighting, shallow depth of field, photoreal, 8k, no text, no logo</t>
  </si>
  <si>
    <t xml:space="preserve">Slow 360° orbit camera, 3 s</t>
  </si>
  <si>
    <t xml:space="preserve">Single white medical IV spike, pointed tip, on dark charcoal gradient background, rim light, photoreal, macro, no text</t>
  </si>
  <si>
    <t xml:space="preserve">Camera slides along the spike towards tip, 3 s</t>
  </si>
  <si>
    <t xml:space="preserve">Frosted translucent plastic spike protective cap lying on white surface under soft spotlight vignette, ultra-clean medical product photography, soft white-blue gradient background, high-key studio lighting, shallow depth of field, photoreal, 8k, no text, no logo</t>
  </si>
  <si>
    <t xml:space="preserve">Slow push-in, 3 s</t>
  </si>
  <si>
    <t xml:space="preserve">Vertical transparent IV drip chamber connected to a clear tube, light blue gradient, ultra-clean medical product photography, soft white-blue gradient background, high-key studio lighting, shallow depth of field, photoreal, 8k, no text, no logo</t>
  </si>
  <si>
    <t xml:space="preserve">Single drop falls inside chamber, slow tilt down, 3 s</t>
  </si>
  <si>
    <t xml:space="preserve">Clear luer lock connector with white screw cap on the end of a transparent tube, macro, ultra-clean medical product photography, soft white-blue gradient background, high-key studio lighting, shallow depth of field, photoreal, 8k, no text, no logo</t>
  </si>
  <si>
    <t xml:space="preserve">Slow slide right, light sweep, 3 s</t>
  </si>
  <si>
    <t xml:space="preserve">Seven IV set components lined up left to right on reflective white surface: roller clamp, roller wheel, spike, spike cap, air vent with blue cap, drip chamber, luer lock connector, ultra-clean medical product photography, soft white-blue gradient background, high-key studio lighting, shallow depth of field, photoreal, 8k, no text, no logo</t>
  </si>
  <si>
    <t xml:space="preserve">(Edit mein Ken Burns push-in)</t>
  </si>
  <si>
    <t xml:space="preserve">IV drip set bag and drip chamber hanging on hospital stand, green ECG patient monitor waveform glowing blurred in background, dark teal hospital room, cinematic, photoreal, no text</t>
  </si>
  <si>
    <t xml:space="preserve">Drip falls, monitor line moves, subtle rack focus, 3 s</t>
  </si>
  <si>
    <t xml:space="preserve">Back view of a doctor in white coat standing in front of large holographic medical data screens, futuristic hospital control room, blue and orange tones, cinematic, photoreal, no readable text</t>
  </si>
  <si>
    <t xml:space="preserve">Slow push-in towards doctor, screens animate, 3 s</t>
  </si>
  <si>
    <t xml:space="preserve">Tip: har prompt ke 2–3 variations generate karein; best pick karke Status = Approved karein. Product ke real photo ho to use reference image ki tarah lagayein — shape accurate rahegi.</t>
  </si>
  <si>
    <t xml:space="preserve">Original B-Roll — Aapko Shoot Karke Dena Hai</t>
  </si>
  <si>
    <t xml:space="preserve">Apni DG machine / factory se. 4K ya 1080p, 24/30 fps, horizontal. Har shot 2× extra length shoot karein (edit ke liye handle).</t>
  </si>
  <si>
    <t xml:space="preserve">What to shoot</t>
  </si>
  <si>
    <t xml:space="preserve">Angle / movement</t>
  </si>
  <si>
    <t xml:space="preserve">Min length (s)</t>
  </si>
  <si>
    <t xml:space="preserve">Notes</t>
  </si>
  <si>
    <t xml:space="preserve">Your file name</t>
  </si>
  <si>
    <t xml:space="preserve">Received?</t>
  </si>
  <si>
    <t xml:space="preserve">Finished IV set on white tray on output conveyor</t>
  </si>
  <si>
    <t xml:space="preserve">Top-down 45°, static or slow slide</t>
  </si>
  <si>
    <t xml:space="preserve">Tray clean, tubing neatly coiled</t>
  </si>
  <si>
    <t xml:space="preserve">No</t>
  </si>
  <si>
    <t xml:space="preserve">DG machine hero wide shot — DG logo visible</t>
  </si>
  <si>
    <t xml:space="preserve">Wide, low angle, gimbal/slider slow move</t>
  </si>
  <si>
    <t xml:space="preserve">Clean-room lights on, no clutter, no people in front of logo</t>
  </si>
  <si>
    <t xml:space="preserve">Mould opening &amp; parts ejection</t>
  </si>
  <si>
    <t xml:space="preserve">Close, tripod, side angle</t>
  </si>
  <si>
    <t xml:space="preserve">Slow-mo 60fps if possible</t>
  </si>
  <si>
    <t xml:space="preserve">PVC tubing bundles / extrusion line</t>
  </si>
  <si>
    <t xml:space="preserve">Medium, slow pan</t>
  </si>
  <si>
    <t xml:space="preserve">Gloved hands holding moulded parts (QC)</t>
  </si>
  <si>
    <t xml:space="preserve">Close-up, hand-held steady</t>
  </si>
  <si>
    <t xml:space="preserve">Blue nitrile gloves, clean background</t>
  </si>
  <si>
    <t xml:space="preserve">Inside mould — cavities &amp; water lines</t>
  </si>
  <si>
    <t xml:space="preserve">Close-up, tripod</t>
  </si>
  <si>
    <t xml:space="preserve">Shows cavity count</t>
  </si>
  <si>
    <t xml:space="preserve">Tubing on conveyor + coiled tube racks</t>
  </si>
  <si>
    <t xml:space="preserve">Medium + close</t>
  </si>
  <si>
    <t xml:space="preserve">Worker in clean-room suit OK</t>
  </si>
  <si>
    <t xml:space="preserve">Automatic assembly line — wide + gauge/robot detail</t>
  </si>
  <si>
    <t xml:space="preserve">Wide pan + 2 close details</t>
  </si>
  <si>
    <t xml:space="preserve">Machine running</t>
  </si>
  <si>
    <t xml:space="preserve">Packing: hand picking finished sets from crate</t>
  </si>
  <si>
    <t xml:space="preserve">Close, 45°</t>
  </si>
  <si>
    <t xml:space="preserve">Extra</t>
  </si>
  <si>
    <t xml:space="preserve">Machine control panel / HMI screen running</t>
  </si>
  <si>
    <t xml:space="preserve">Close</t>
  </si>
  <si>
    <t xml:space="preserve">Backup shot</t>
  </si>
  <si>
    <t xml:space="preserve">Product photo on white (for Spec_Card)</t>
  </si>
  <si>
    <t xml:space="preserve">Still photo, top-down, white bg</t>
  </si>
  <si>
    <t xml:space="preserve">PNG, high-res</t>
  </si>
  <si>
    <t xml:space="preserve">DG logo — vector (SVG/PNG transparent)</t>
  </si>
  <si>
    <t xml:space="preserve">Needed for watermark + outro</t>
  </si>
  <si>
    <t xml:space="preserve">Received count</t>
  </si>
  <si>
    <t xml:space="preserve">Voiceover — DG Tech Machinery</t>
  </si>
  <si>
    <t xml:space="preserve">Voice: male, confident, warm. ElevenLabs: Stability 45–55%, Similarity 75%, Style 20%, Speed 0.95. ~2.3 words/sec target.</t>
  </si>
  <si>
    <t xml:space="preserve">Scene(s)</t>
  </si>
  <si>
    <t xml:space="preserve">Slot (s)</t>
  </si>
  <si>
    <t xml:space="preserve">VO — English</t>
  </si>
  <si>
    <t xml:space="preserve">VO — Hinglish (option)</t>
  </si>
  <si>
    <t xml:space="preserve">Words (EN)</t>
  </si>
  <si>
    <t xml:space="preserve">Fits? (≤2.5 w/s)</t>
  </si>
  <si>
    <t xml:space="preserve">1</t>
  </si>
  <si>
    <t xml:space="preserve">DG Tech Machinery presents — a complete turnkey solution for IV drip set manufacturing.</t>
  </si>
  <si>
    <t xml:space="preserve">DG Tech Machinery pesh karta hai — IV drip set manufacturing ka complete turnkey solution.</t>
  </si>
  <si>
    <t xml:space="preserve">2–3</t>
  </si>
  <si>
    <t xml:space="preserve">Powered by our servo-hybrid injection moulding technology.</t>
  </si>
  <si>
    <t xml:space="preserve">Hamari servo-hybrid injection moulding technology ke saath.</t>
  </si>
  <si>
    <t xml:space="preserve">4–5</t>
  </si>
  <si>
    <t xml:space="preserve">Precision, speed and energy efficiency — built for medical-grade production.</t>
  </si>
  <si>
    <t xml:space="preserve">Precision, speed aur energy saving — medical-grade production ke liye.</t>
  </si>
  <si>
    <t xml:space="preserve">6</t>
  </si>
  <si>
    <t xml:space="preserve">From PP, PE, ABS and PVC raw material…</t>
  </si>
  <si>
    <t xml:space="preserve">PP, PE, ABS aur PVC raw material se…</t>
  </si>
  <si>
    <t xml:space="preserve">7</t>
  </si>
  <si>
    <t xml:space="preserve">…to every critical component of an IV set.</t>
  </si>
  <si>
    <t xml:space="preserve">…IV set ke har zaroori component tak.</t>
  </si>
  <si>
    <t xml:space="preserve">8–9</t>
  </si>
  <si>
    <t xml:space="preserve">High-cavity moulds deliver consistent quality, shot after shot.</t>
  </si>
  <si>
    <t xml:space="preserve">High-cavity moulds har shot mein same quality dete hain.</t>
  </si>
  <si>
    <t xml:space="preserve">10–15</t>
  </si>
  <si>
    <t xml:space="preserve">Roller flow control clamp. Spike. Spike cap. Drip chamber. Luer lock connector. Every part moulded to exact tolerances.</t>
  </si>
  <si>
    <t xml:space="preserve">Roller flow control clamp. Spike. Spike cap. Drip chamber. Luer lock connector. Har part bilkul exact tolerance par.</t>
  </si>
  <si>
    <t xml:space="preserve">16–17</t>
  </si>
  <si>
    <t xml:space="preserve">Up to sixty-four cavities, with cycle times as low as twenty-two seconds.</t>
  </si>
  <si>
    <t xml:space="preserve">Sixty-four cavities tak, aur sirf twenty-two seconds ka cycle time.</t>
  </si>
  <si>
    <t xml:space="preserve">18–20</t>
  </si>
  <si>
    <t xml:space="preserve">Integrated with fully automatic assembly and clean-room packing — from moulding to finished product.</t>
  </si>
  <si>
    <t xml:space="preserve">Fully automatic assembly aur clean-room packing ke saath — moulding se finished product tak.</t>
  </si>
  <si>
    <t xml:space="preserve">21–22</t>
  </si>
  <si>
    <t xml:space="preserve">Trusted by healthcare manufacturers, because every drop matters.</t>
  </si>
  <si>
    <t xml:space="preserve">Healthcare manufacturers ka bharosa — kyunki har boond zaroori hai.</t>
  </si>
  <si>
    <t xml:space="preserve">23</t>
  </si>
  <si>
    <t xml:space="preserve">DG Tech Machinery. Engineering the future of medical manufacturing.</t>
  </si>
  <si>
    <t xml:space="preserve">DG Tech Machinery. Medical manufacturing ka future, engineered.</t>
  </si>
  <si>
    <t xml:space="preserve">Total words</t>
  </si>
  <si>
    <t xml:space="preserve">Note: Numbers (64 cavities, 22 s cycle) reference video se liye hain — apni DG machine ke real specs Spec_Card mein confirm karke yahan update karein.</t>
  </si>
  <si>
    <t xml:space="preserve">Opening Card — Solution Information</t>
  </si>
  <si>
    <t xml:space="preserve">Yellow cells apni machine ke real numbers se replace karein. Abhi values reference video se placeholder hain.</t>
  </si>
  <si>
    <t xml:space="preserve">Field</t>
  </si>
  <si>
    <t xml:space="preserve">Value (shown on card)</t>
  </si>
  <si>
    <t xml:space="preserve">Product</t>
  </si>
  <si>
    <t xml:space="preserve">IV Drip Set</t>
  </si>
  <si>
    <t xml:space="preserve">Cavities</t>
  </si>
  <si>
    <t xml:space="preserve">64</t>
  </si>
  <si>
    <t xml:space="preserve">Production/Hour</t>
  </si>
  <si>
    <t xml:space="preserve">7680–10473</t>
  </si>
  <si>
    <t xml:space="preserve">Cycle Time</t>
  </si>
  <si>
    <t xml:space="preserve">22–30 seconds</t>
  </si>
  <si>
    <t xml:space="preserve">Material</t>
  </si>
  <si>
    <t xml:space="preserve">PP/PE | ABS | PVC</t>
  </si>
  <si>
    <t xml:space="preserve">Machine model</t>
  </si>
  <si>
    <t xml:space="preserve">DG-____ Servo-Hybrid</t>
  </si>
  <si>
    <t xml:space="preserve">Clamping force (Ton)</t>
  </si>
  <si>
    <t xml:space="preserve">____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</si>
</sst>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5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B2A5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B2A5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3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5" t="s">
        <v>18</v>
      </c>
      <c r="B14" s="4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5" t="s">
        <v>22</v>
      </c>
      <c r="B16" s="4" t="s">
        <v>23</v>
      </c>
    </row>
    <row r="17" customFormat="false" ht="15" hidden="false" customHeight="false" outlineLevel="0" collapsed="false">
      <c r="A17" s="5" t="s">
        <v>24</v>
      </c>
      <c r="B17" s="4" t="s">
        <v>25</v>
      </c>
    </row>
    <row r="18" customFormat="false" ht="15" hidden="false" customHeight="false" outlineLevel="0" collapsed="false">
      <c r="A18" s="5" t="s">
        <v>26</v>
      </c>
      <c r="B18" s="4" t="s">
        <v>27</v>
      </c>
    </row>
    <row r="19" customFormat="false" ht="15" hidden="false" customHeight="false" outlineLevel="0" collapsed="false">
      <c r="A19" s="5" t="s">
        <v>28</v>
      </c>
      <c r="B19" s="4" t="s">
        <v>29</v>
      </c>
    </row>
    <row r="20" customFormat="false" ht="15" hidden="false" customHeight="false" outlineLevel="0" collapsed="false">
      <c r="A20" s="5" t="s">
        <v>30</v>
      </c>
      <c r="B20" s="4" t="s">
        <v>31</v>
      </c>
    </row>
    <row r="21" customFormat="false" ht="15" hidden="false" customHeight="false" outlineLevel="0" collapsed="false">
      <c r="A21" s="5" t="s">
        <v>32</v>
      </c>
      <c r="B21" s="4" t="s">
        <v>33</v>
      </c>
    </row>
    <row r="22" customFormat="false" ht="15" hidden="false" customHeight="false" outlineLevel="0" collapsed="false">
      <c r="A22" s="5" t="s">
        <v>34</v>
      </c>
      <c r="B22" s="4" t="s">
        <v>35</v>
      </c>
    </row>
    <row r="23" customFormat="false" ht="15" hidden="false" customHeight="false" outlineLevel="0" collapsed="false">
      <c r="A23" s="5" t="s">
        <v>36</v>
      </c>
      <c r="B23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55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26.85" hidden="false" customHeight="false" outlineLevel="0" collapsed="false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</row>
    <row r="5" customFormat="false" ht="35.05" hidden="false" customHeight="false" outlineLevel="0" collapsed="false">
      <c r="A5" s="8" t="n">
        <v>1</v>
      </c>
      <c r="B5" s="8" t="s">
        <v>51</v>
      </c>
      <c r="C5" s="8" t="n">
        <v>0</v>
      </c>
      <c r="D5" s="8" t="n">
        <v>6</v>
      </c>
      <c r="E5" s="8" t="n">
        <f aca="false">D5-C5</f>
        <v>6</v>
      </c>
      <c r="F5" s="8" t="s">
        <v>52</v>
      </c>
      <c r="G5" s="8" t="s">
        <v>53</v>
      </c>
      <c r="H5" s="8" t="s">
        <v>54</v>
      </c>
      <c r="I5" s="8" t="s">
        <v>55</v>
      </c>
      <c r="J5" s="8" t="s">
        <v>56</v>
      </c>
      <c r="K5" s="9" t="s">
        <v>57</v>
      </c>
    </row>
    <row r="6" customFormat="false" ht="23.85" hidden="false" customHeight="false" outlineLevel="0" collapsed="false">
      <c r="A6" s="8" t="n">
        <v>2</v>
      </c>
      <c r="B6" s="8" t="s">
        <v>58</v>
      </c>
      <c r="C6" s="8" t="n">
        <v>6</v>
      </c>
      <c r="D6" s="8" t="n">
        <v>9</v>
      </c>
      <c r="E6" s="8" t="n">
        <f aca="false">D6-C6</f>
        <v>3</v>
      </c>
      <c r="F6" s="8" t="s">
        <v>59</v>
      </c>
      <c r="G6" s="8" t="s">
        <v>60</v>
      </c>
      <c r="H6" s="8" t="s">
        <v>61</v>
      </c>
      <c r="I6" s="8" t="s">
        <v>62</v>
      </c>
      <c r="J6" s="8" t="s">
        <v>63</v>
      </c>
      <c r="K6" s="9" t="s">
        <v>57</v>
      </c>
    </row>
    <row r="7" customFormat="false" ht="15" hidden="false" customHeight="false" outlineLevel="0" collapsed="false">
      <c r="A7" s="8" t="n">
        <v>3</v>
      </c>
      <c r="B7" s="8" t="s">
        <v>58</v>
      </c>
      <c r="C7" s="8" t="n">
        <v>9</v>
      </c>
      <c r="D7" s="8" t="n">
        <v>11</v>
      </c>
      <c r="E7" s="8" t="n">
        <f aca="false">D7-C7</f>
        <v>2</v>
      </c>
      <c r="F7" s="8" t="s">
        <v>59</v>
      </c>
      <c r="G7" s="8" t="s">
        <v>64</v>
      </c>
      <c r="H7" s="8" t="s">
        <v>65</v>
      </c>
      <c r="I7" s="8" t="s">
        <v>66</v>
      </c>
      <c r="J7" s="8" t="s">
        <v>67</v>
      </c>
      <c r="K7" s="9" t="s">
        <v>57</v>
      </c>
    </row>
    <row r="8" customFormat="false" ht="23.85" hidden="false" customHeight="false" outlineLevel="0" collapsed="false">
      <c r="A8" s="8" t="n">
        <v>4</v>
      </c>
      <c r="B8" s="8" t="s">
        <v>68</v>
      </c>
      <c r="C8" s="8" t="n">
        <v>11</v>
      </c>
      <c r="D8" s="8" t="n">
        <v>15</v>
      </c>
      <c r="E8" s="8" t="n">
        <f aca="false">D8-C8</f>
        <v>4</v>
      </c>
      <c r="F8" s="8" t="s">
        <v>69</v>
      </c>
      <c r="G8" s="8" t="s">
        <v>70</v>
      </c>
      <c r="H8" s="8" t="s">
        <v>71</v>
      </c>
      <c r="I8" s="8" t="s">
        <v>72</v>
      </c>
      <c r="J8" s="8" t="s">
        <v>73</v>
      </c>
      <c r="K8" s="9" t="s">
        <v>57</v>
      </c>
    </row>
    <row r="9" customFormat="false" ht="23.85" hidden="false" customHeight="false" outlineLevel="0" collapsed="false">
      <c r="A9" s="8" t="n">
        <v>5</v>
      </c>
      <c r="B9" s="8" t="s">
        <v>68</v>
      </c>
      <c r="C9" s="8" t="n">
        <v>15</v>
      </c>
      <c r="D9" s="8" t="n">
        <v>19</v>
      </c>
      <c r="E9" s="8" t="n">
        <f aca="false">D9-C9</f>
        <v>4</v>
      </c>
      <c r="F9" s="8" t="s">
        <v>69</v>
      </c>
      <c r="G9" s="8" t="s">
        <v>74</v>
      </c>
      <c r="H9" s="8" t="s">
        <v>75</v>
      </c>
      <c r="I9" s="8" t="s">
        <v>72</v>
      </c>
      <c r="J9" s="8" t="s">
        <v>76</v>
      </c>
      <c r="K9" s="9" t="s">
        <v>57</v>
      </c>
    </row>
    <row r="10" customFormat="false" ht="15" hidden="false" customHeight="false" outlineLevel="0" collapsed="false">
      <c r="A10" s="8" t="n">
        <v>6</v>
      </c>
      <c r="B10" s="8" t="s">
        <v>77</v>
      </c>
      <c r="C10" s="8" t="n">
        <v>19</v>
      </c>
      <c r="D10" s="8" t="n">
        <v>24</v>
      </c>
      <c r="E10" s="8" t="n">
        <f aca="false">D10-C10</f>
        <v>5</v>
      </c>
      <c r="F10" s="8" t="s">
        <v>59</v>
      </c>
      <c r="G10" s="8" t="s">
        <v>78</v>
      </c>
      <c r="H10" s="8" t="s">
        <v>79</v>
      </c>
      <c r="I10" s="8" t="s">
        <v>80</v>
      </c>
      <c r="J10" s="8" t="s">
        <v>81</v>
      </c>
      <c r="K10" s="9" t="s">
        <v>57</v>
      </c>
    </row>
    <row r="11" customFormat="false" ht="35.05" hidden="false" customHeight="false" outlineLevel="0" collapsed="false">
      <c r="A11" s="8" t="n">
        <v>7</v>
      </c>
      <c r="B11" s="8" t="s">
        <v>82</v>
      </c>
      <c r="C11" s="8" t="n">
        <v>24</v>
      </c>
      <c r="D11" s="8" t="n">
        <v>30</v>
      </c>
      <c r="E11" s="8" t="n">
        <f aca="false">D11-C11</f>
        <v>6</v>
      </c>
      <c r="F11" s="8" t="s">
        <v>52</v>
      </c>
      <c r="G11" s="8" t="s">
        <v>83</v>
      </c>
      <c r="H11" s="8" t="s">
        <v>84</v>
      </c>
      <c r="I11" s="8" t="s">
        <v>85</v>
      </c>
      <c r="J11" s="8" t="s">
        <v>86</v>
      </c>
      <c r="K11" s="9" t="s">
        <v>57</v>
      </c>
    </row>
    <row r="12" customFormat="false" ht="23.85" hidden="false" customHeight="false" outlineLevel="0" collapsed="false">
      <c r="A12" s="8" t="n">
        <v>8</v>
      </c>
      <c r="B12" s="8" t="s">
        <v>87</v>
      </c>
      <c r="C12" s="8" t="n">
        <v>30</v>
      </c>
      <c r="D12" s="8" t="n">
        <v>33</v>
      </c>
      <c r="E12" s="8" t="n">
        <f aca="false">D12-C12</f>
        <v>3</v>
      </c>
      <c r="F12" s="8" t="s">
        <v>69</v>
      </c>
      <c r="G12" s="8" t="s">
        <v>88</v>
      </c>
      <c r="H12" s="8" t="s">
        <v>71</v>
      </c>
      <c r="I12" s="8" t="s">
        <v>72</v>
      </c>
      <c r="J12" s="8" t="s">
        <v>89</v>
      </c>
      <c r="K12" s="9" t="s">
        <v>57</v>
      </c>
    </row>
    <row r="13" customFormat="false" ht="15" hidden="false" customHeight="false" outlineLevel="0" collapsed="false">
      <c r="A13" s="8" t="n">
        <v>9</v>
      </c>
      <c r="B13" s="8" t="s">
        <v>87</v>
      </c>
      <c r="C13" s="8" t="n">
        <v>33</v>
      </c>
      <c r="D13" s="8" t="n">
        <v>35</v>
      </c>
      <c r="E13" s="8" t="n">
        <f aca="false">D13-C13</f>
        <v>2</v>
      </c>
      <c r="F13" s="8" t="s">
        <v>69</v>
      </c>
      <c r="G13" s="8" t="s">
        <v>90</v>
      </c>
      <c r="H13" s="8" t="s">
        <v>71</v>
      </c>
      <c r="I13" s="8" t="s">
        <v>72</v>
      </c>
      <c r="J13" s="8" t="s">
        <v>71</v>
      </c>
      <c r="K13" s="9" t="s">
        <v>57</v>
      </c>
    </row>
    <row r="14" customFormat="false" ht="15" hidden="false" customHeight="false" outlineLevel="0" collapsed="false">
      <c r="A14" s="8" t="n">
        <v>10</v>
      </c>
      <c r="B14" s="8" t="s">
        <v>91</v>
      </c>
      <c r="C14" s="8" t="n">
        <v>35</v>
      </c>
      <c r="D14" s="8" t="n">
        <v>38</v>
      </c>
      <c r="E14" s="8" t="n">
        <f aca="false">D14-C14</f>
        <v>3</v>
      </c>
      <c r="F14" s="8" t="s">
        <v>59</v>
      </c>
      <c r="G14" s="8" t="s">
        <v>92</v>
      </c>
      <c r="H14" s="8" t="s">
        <v>93</v>
      </c>
      <c r="I14" s="8" t="s">
        <v>80</v>
      </c>
      <c r="J14" s="8" t="s">
        <v>94</v>
      </c>
      <c r="K14" s="9" t="s">
        <v>57</v>
      </c>
    </row>
    <row r="15" customFormat="false" ht="15" hidden="false" customHeight="false" outlineLevel="0" collapsed="false">
      <c r="A15" s="8" t="n">
        <v>11</v>
      </c>
      <c r="B15" s="8" t="s">
        <v>91</v>
      </c>
      <c r="C15" s="8" t="n">
        <v>38</v>
      </c>
      <c r="D15" s="8" t="n">
        <v>41</v>
      </c>
      <c r="E15" s="8" t="n">
        <f aca="false">D15-C15</f>
        <v>3</v>
      </c>
      <c r="F15" s="8" t="s">
        <v>59</v>
      </c>
      <c r="G15" s="8" t="s">
        <v>95</v>
      </c>
      <c r="H15" s="8" t="s">
        <v>96</v>
      </c>
      <c r="I15" s="8" t="s">
        <v>80</v>
      </c>
      <c r="J15" s="8" t="s">
        <v>94</v>
      </c>
      <c r="K15" s="9" t="s">
        <v>57</v>
      </c>
    </row>
    <row r="16" customFormat="false" ht="15" hidden="false" customHeight="false" outlineLevel="0" collapsed="false">
      <c r="A16" s="8" t="n">
        <v>12</v>
      </c>
      <c r="B16" s="8" t="s">
        <v>91</v>
      </c>
      <c r="C16" s="8" t="n">
        <v>41</v>
      </c>
      <c r="D16" s="8" t="n">
        <v>44</v>
      </c>
      <c r="E16" s="8" t="n">
        <f aca="false">D16-C16</f>
        <v>3</v>
      </c>
      <c r="F16" s="8" t="s">
        <v>59</v>
      </c>
      <c r="G16" s="8" t="s">
        <v>97</v>
      </c>
      <c r="H16" s="8" t="s">
        <v>98</v>
      </c>
      <c r="I16" s="8" t="s">
        <v>80</v>
      </c>
      <c r="J16" s="8" t="s">
        <v>94</v>
      </c>
      <c r="K16" s="9" t="s">
        <v>57</v>
      </c>
    </row>
    <row r="17" customFormat="false" ht="15" hidden="false" customHeight="false" outlineLevel="0" collapsed="false">
      <c r="A17" s="8" t="n">
        <v>13</v>
      </c>
      <c r="B17" s="8" t="s">
        <v>91</v>
      </c>
      <c r="C17" s="8" t="n">
        <v>44</v>
      </c>
      <c r="D17" s="8" t="n">
        <v>47</v>
      </c>
      <c r="E17" s="8" t="n">
        <f aca="false">D17-C17</f>
        <v>3</v>
      </c>
      <c r="F17" s="8" t="s">
        <v>59</v>
      </c>
      <c r="G17" s="8" t="s">
        <v>99</v>
      </c>
      <c r="H17" s="8" t="s">
        <v>100</v>
      </c>
      <c r="I17" s="8" t="s">
        <v>80</v>
      </c>
      <c r="J17" s="8" t="s">
        <v>101</v>
      </c>
      <c r="K17" s="9" t="s">
        <v>57</v>
      </c>
    </row>
    <row r="18" customFormat="false" ht="15" hidden="false" customHeight="false" outlineLevel="0" collapsed="false">
      <c r="A18" s="8" t="n">
        <v>14</v>
      </c>
      <c r="B18" s="8" t="s">
        <v>91</v>
      </c>
      <c r="C18" s="8" t="n">
        <v>47</v>
      </c>
      <c r="D18" s="8" t="n">
        <v>50</v>
      </c>
      <c r="E18" s="8" t="n">
        <f aca="false">D18-C18</f>
        <v>3</v>
      </c>
      <c r="F18" s="8" t="s">
        <v>59</v>
      </c>
      <c r="G18" s="8" t="s">
        <v>102</v>
      </c>
      <c r="H18" s="8" t="s">
        <v>103</v>
      </c>
      <c r="I18" s="8" t="s">
        <v>80</v>
      </c>
      <c r="J18" s="8" t="s">
        <v>94</v>
      </c>
      <c r="K18" s="9" t="s">
        <v>57</v>
      </c>
    </row>
    <row r="19" customFormat="false" ht="23.85" hidden="false" customHeight="false" outlineLevel="0" collapsed="false">
      <c r="A19" s="8" t="n">
        <v>15</v>
      </c>
      <c r="B19" s="8" t="s">
        <v>91</v>
      </c>
      <c r="C19" s="8" t="n">
        <v>50</v>
      </c>
      <c r="D19" s="8" t="n">
        <v>53</v>
      </c>
      <c r="E19" s="8" t="n">
        <f aca="false">D19-C19</f>
        <v>3</v>
      </c>
      <c r="F19" s="8" t="s">
        <v>104</v>
      </c>
      <c r="G19" s="8" t="s">
        <v>105</v>
      </c>
      <c r="H19" s="8" t="s">
        <v>71</v>
      </c>
      <c r="I19" s="8" t="s">
        <v>80</v>
      </c>
      <c r="J19" s="8" t="s">
        <v>71</v>
      </c>
      <c r="K19" s="9" t="s">
        <v>57</v>
      </c>
    </row>
    <row r="20" customFormat="false" ht="15" hidden="false" customHeight="false" outlineLevel="0" collapsed="false">
      <c r="A20" s="8" t="n">
        <v>16</v>
      </c>
      <c r="B20" s="8" t="s">
        <v>106</v>
      </c>
      <c r="C20" s="8" t="n">
        <v>53</v>
      </c>
      <c r="D20" s="8" t="n">
        <v>56</v>
      </c>
      <c r="E20" s="8" t="n">
        <f aca="false">D20-C20</f>
        <v>3</v>
      </c>
      <c r="F20" s="8" t="s">
        <v>69</v>
      </c>
      <c r="G20" s="8" t="s">
        <v>107</v>
      </c>
      <c r="H20" s="8" t="s">
        <v>71</v>
      </c>
      <c r="I20" s="8" t="s">
        <v>72</v>
      </c>
      <c r="J20" s="8" t="s">
        <v>71</v>
      </c>
      <c r="K20" s="9" t="s">
        <v>57</v>
      </c>
    </row>
    <row r="21" customFormat="false" ht="15" hidden="false" customHeight="false" outlineLevel="0" collapsed="false">
      <c r="A21" s="8" t="n">
        <v>17</v>
      </c>
      <c r="B21" s="8" t="s">
        <v>106</v>
      </c>
      <c r="C21" s="8" t="n">
        <v>56</v>
      </c>
      <c r="D21" s="8" t="n">
        <v>59</v>
      </c>
      <c r="E21" s="8" t="n">
        <f aca="false">D21-C21</f>
        <v>3</v>
      </c>
      <c r="F21" s="8" t="s">
        <v>69</v>
      </c>
      <c r="G21" s="8" t="s">
        <v>108</v>
      </c>
      <c r="H21" s="8" t="s">
        <v>109</v>
      </c>
      <c r="I21" s="8" t="s">
        <v>72</v>
      </c>
      <c r="J21" s="8" t="s">
        <v>110</v>
      </c>
      <c r="K21" s="9" t="s">
        <v>57</v>
      </c>
    </row>
    <row r="22" customFormat="false" ht="15" hidden="false" customHeight="false" outlineLevel="0" collapsed="false">
      <c r="A22" s="8" t="n">
        <v>18</v>
      </c>
      <c r="B22" s="8" t="s">
        <v>111</v>
      </c>
      <c r="C22" s="8" t="n">
        <v>59</v>
      </c>
      <c r="D22" s="8" t="n">
        <v>65</v>
      </c>
      <c r="E22" s="8" t="n">
        <f aca="false">D22-C22</f>
        <v>6</v>
      </c>
      <c r="F22" s="8" t="s">
        <v>69</v>
      </c>
      <c r="G22" s="8" t="s">
        <v>112</v>
      </c>
      <c r="H22" s="8" t="s">
        <v>71</v>
      </c>
      <c r="I22" s="8" t="s">
        <v>72</v>
      </c>
      <c r="J22" s="8" t="s">
        <v>73</v>
      </c>
      <c r="K22" s="9" t="s">
        <v>57</v>
      </c>
    </row>
    <row r="23" customFormat="false" ht="23.85" hidden="false" customHeight="false" outlineLevel="0" collapsed="false">
      <c r="A23" s="8" t="n">
        <v>19</v>
      </c>
      <c r="B23" s="8" t="s">
        <v>111</v>
      </c>
      <c r="C23" s="8" t="n">
        <v>65</v>
      </c>
      <c r="D23" s="8" t="n">
        <v>72</v>
      </c>
      <c r="E23" s="8" t="n">
        <f aca="false">D23-C23</f>
        <v>7</v>
      </c>
      <c r="F23" s="8" t="s">
        <v>69</v>
      </c>
      <c r="G23" s="8" t="s">
        <v>113</v>
      </c>
      <c r="H23" s="8" t="s">
        <v>114</v>
      </c>
      <c r="I23" s="8" t="s">
        <v>72</v>
      </c>
      <c r="J23" s="8" t="s">
        <v>115</v>
      </c>
      <c r="K23" s="9" t="s">
        <v>57</v>
      </c>
    </row>
    <row r="24" customFormat="false" ht="15" hidden="false" customHeight="false" outlineLevel="0" collapsed="false">
      <c r="A24" s="8" t="n">
        <v>20</v>
      </c>
      <c r="B24" s="8" t="s">
        <v>116</v>
      </c>
      <c r="C24" s="8" t="n">
        <v>72</v>
      </c>
      <c r="D24" s="8" t="n">
        <v>75</v>
      </c>
      <c r="E24" s="8" t="n">
        <f aca="false">D24-C24</f>
        <v>3</v>
      </c>
      <c r="F24" s="8" t="s">
        <v>69</v>
      </c>
      <c r="G24" s="8" t="s">
        <v>117</v>
      </c>
      <c r="H24" s="8" t="s">
        <v>71</v>
      </c>
      <c r="I24" s="8" t="s">
        <v>72</v>
      </c>
      <c r="J24" s="8" t="s">
        <v>71</v>
      </c>
      <c r="K24" s="9" t="s">
        <v>57</v>
      </c>
    </row>
    <row r="25" customFormat="false" ht="23.85" hidden="false" customHeight="false" outlineLevel="0" collapsed="false">
      <c r="A25" s="8" t="n">
        <v>21</v>
      </c>
      <c r="B25" s="8" t="s">
        <v>118</v>
      </c>
      <c r="C25" s="8" t="n">
        <v>75</v>
      </c>
      <c r="D25" s="8" t="n">
        <v>78</v>
      </c>
      <c r="E25" s="8" t="n">
        <f aca="false">D25-C25</f>
        <v>3</v>
      </c>
      <c r="F25" s="8" t="s">
        <v>59</v>
      </c>
      <c r="G25" s="8" t="s">
        <v>119</v>
      </c>
      <c r="H25" s="8" t="s">
        <v>120</v>
      </c>
      <c r="I25" s="8" t="s">
        <v>80</v>
      </c>
      <c r="J25" s="8" t="s">
        <v>121</v>
      </c>
      <c r="K25" s="9" t="s">
        <v>57</v>
      </c>
    </row>
    <row r="26" customFormat="false" ht="23.85" hidden="false" customHeight="false" outlineLevel="0" collapsed="false">
      <c r="A26" s="8" t="n">
        <v>22</v>
      </c>
      <c r="B26" s="8" t="s">
        <v>118</v>
      </c>
      <c r="C26" s="8" t="n">
        <v>78</v>
      </c>
      <c r="D26" s="8" t="n">
        <v>81</v>
      </c>
      <c r="E26" s="8" t="n">
        <f aca="false">D26-C26</f>
        <v>3</v>
      </c>
      <c r="F26" s="8" t="s">
        <v>59</v>
      </c>
      <c r="G26" s="8" t="s">
        <v>122</v>
      </c>
      <c r="H26" s="8" t="s">
        <v>71</v>
      </c>
      <c r="I26" s="8" t="s">
        <v>80</v>
      </c>
      <c r="J26" s="8" t="s">
        <v>123</v>
      </c>
      <c r="K26" s="9" t="s">
        <v>57</v>
      </c>
    </row>
    <row r="27" customFormat="false" ht="23.85" hidden="false" customHeight="false" outlineLevel="0" collapsed="false">
      <c r="A27" s="8" t="n">
        <v>23</v>
      </c>
      <c r="B27" s="8" t="s">
        <v>124</v>
      </c>
      <c r="C27" s="8" t="n">
        <v>81</v>
      </c>
      <c r="D27" s="8" t="n">
        <v>85</v>
      </c>
      <c r="E27" s="8" t="n">
        <f aca="false">D27-C27</f>
        <v>4</v>
      </c>
      <c r="F27" s="8" t="s">
        <v>52</v>
      </c>
      <c r="G27" s="8" t="s">
        <v>125</v>
      </c>
      <c r="H27" s="8" t="s">
        <v>126</v>
      </c>
      <c r="I27" s="8" t="s">
        <v>127</v>
      </c>
      <c r="J27" s="8" t="s">
        <v>128</v>
      </c>
      <c r="K27" s="9" t="s">
        <v>57</v>
      </c>
    </row>
    <row r="29" customFormat="false" ht="15" hidden="false" customHeight="false" outlineLevel="0" collapsed="false">
      <c r="D29" s="10" t="s">
        <v>129</v>
      </c>
      <c r="E29" s="10" t="n">
        <f aca="false">SUM(E5:E27)</f>
        <v>85</v>
      </c>
      <c r="F29" s="11"/>
    </row>
    <row r="30" customFormat="false" ht="15" hidden="false" customHeight="false" outlineLevel="0" collapsed="false">
      <c r="D30" s="10" t="s">
        <v>104</v>
      </c>
      <c r="E30" s="10" t="n">
        <f aca="false">SUMIF(F5:F27,"AI Image",E5:E27)</f>
        <v>3</v>
      </c>
      <c r="F30" s="11" t="str">
        <f aca="false">COUNTIF(F5:F27,"AI Image")&amp;" scenes"</f>
        <v>1 scenes</v>
      </c>
    </row>
    <row r="31" customFormat="false" ht="15" hidden="false" customHeight="false" outlineLevel="0" collapsed="false">
      <c r="D31" s="10" t="s">
        <v>59</v>
      </c>
      <c r="E31" s="10" t="n">
        <f aca="false">SUMIF(F5:F27,"AI Video",E5:E27)</f>
        <v>31</v>
      </c>
      <c r="F31" s="11" t="str">
        <f aca="false">COUNTIF(F5:F27,"AI Video")&amp;" scenes"</f>
        <v>10 scenes</v>
      </c>
    </row>
    <row r="32" customFormat="false" ht="15" hidden="false" customHeight="false" outlineLevel="0" collapsed="false">
      <c r="D32" s="10" t="s">
        <v>69</v>
      </c>
      <c r="E32" s="10" t="n">
        <f aca="false">SUMIF(F5:F27,"Original B-Roll",E5:E27)</f>
        <v>35</v>
      </c>
      <c r="F32" s="11" t="str">
        <f aca="false">COUNTIF(F5:F27,"Original B-Roll")&amp;" scenes"</f>
        <v>9 scenes</v>
      </c>
    </row>
    <row r="33" customFormat="false" ht="15" hidden="false" customHeight="false" outlineLevel="0" collapsed="false">
      <c r="D33" s="10" t="s">
        <v>52</v>
      </c>
      <c r="E33" s="10" t="n">
        <f aca="false">SUMIF(F5:F27,"Motion Graphic",E5:E27)</f>
        <v>16</v>
      </c>
      <c r="F33" s="11" t="str">
        <f aca="false">COUNTIF(F5:F27,"Motion Graphic")&amp;" scenes"</f>
        <v>3 scenes</v>
      </c>
    </row>
  </sheetData>
  <dataValidations count="2">
    <dataValidation allowBlank="true" errorStyle="stop" operator="between" showDropDown="false" showErrorMessage="false" showInputMessage="false" sqref="K5:K27" type="list">
      <formula1>"To Do,In Progress,Done,Approved"</formula1>
      <formula2>0</formula2>
    </dataValidation>
    <dataValidation allowBlank="false" errorStyle="stop" operator="between" showDropDown="false" showErrorMessage="false" showInputMessage="false" sqref="F5:F27" type="list">
      <formula1>"AI Image,AI Video,Original B-Roll,Motion Graphic"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26.85" hidden="false" customHeight="false" outlineLevel="0" collapsed="false">
      <c r="A4" s="7" t="s">
        <v>40</v>
      </c>
      <c r="B4" s="7" t="s">
        <v>132</v>
      </c>
      <c r="C4" s="7" t="s">
        <v>133</v>
      </c>
      <c r="D4" s="7" t="s">
        <v>134</v>
      </c>
      <c r="E4" s="7" t="s">
        <v>135</v>
      </c>
      <c r="F4" s="7" t="s">
        <v>136</v>
      </c>
      <c r="G4" s="7" t="s">
        <v>137</v>
      </c>
      <c r="H4" s="7" t="s">
        <v>138</v>
      </c>
      <c r="I4" s="7" t="s">
        <v>50</v>
      </c>
    </row>
    <row r="5" customFormat="false" ht="35.05" hidden="false" customHeight="false" outlineLevel="0" collapsed="false">
      <c r="A5" s="8" t="n">
        <v>2</v>
      </c>
      <c r="B5" s="8" t="s">
        <v>59</v>
      </c>
      <c r="C5" s="8" t="s">
        <v>139</v>
      </c>
      <c r="D5" s="8" t="s">
        <v>140</v>
      </c>
      <c r="E5" s="8" t="s">
        <v>141</v>
      </c>
      <c r="F5" s="8" t="n">
        <v>4</v>
      </c>
      <c r="G5" s="8" t="s">
        <v>142</v>
      </c>
      <c r="H5" s="9" t="str">
        <f aca="false">"DG_S"&amp;TEXT(A5,"00")&amp;"_AI.mp4"</f>
        <v>DG_S02_AI.mp4</v>
      </c>
      <c r="I5" s="9" t="s">
        <v>57</v>
      </c>
    </row>
    <row r="6" customFormat="false" ht="46.25" hidden="false" customHeight="false" outlineLevel="0" collapsed="false">
      <c r="A6" s="8" t="n">
        <v>3</v>
      </c>
      <c r="B6" s="8" t="s">
        <v>59</v>
      </c>
      <c r="C6" s="8" t="s">
        <v>143</v>
      </c>
      <c r="D6" s="8" t="s">
        <v>140</v>
      </c>
      <c r="E6" s="8" t="s">
        <v>144</v>
      </c>
      <c r="F6" s="8" t="n">
        <v>3</v>
      </c>
      <c r="G6" s="8" t="s">
        <v>142</v>
      </c>
      <c r="H6" s="9" t="str">
        <f aca="false">"DG_S"&amp;TEXT(A6,"00")&amp;"_AI.mp4"</f>
        <v>DG_S03_AI.mp4</v>
      </c>
      <c r="I6" s="9" t="s">
        <v>57</v>
      </c>
    </row>
    <row r="7" customFormat="false" ht="35.05" hidden="false" customHeight="false" outlineLevel="0" collapsed="false">
      <c r="A7" s="8" t="n">
        <v>6</v>
      </c>
      <c r="B7" s="8" t="s">
        <v>59</v>
      </c>
      <c r="C7" s="8" t="s">
        <v>145</v>
      </c>
      <c r="D7" s="8" t="s">
        <v>140</v>
      </c>
      <c r="E7" s="8" t="s">
        <v>146</v>
      </c>
      <c r="F7" s="8" t="n">
        <v>5</v>
      </c>
      <c r="G7" s="8" t="s">
        <v>142</v>
      </c>
      <c r="H7" s="9" t="str">
        <f aca="false">"DG_S"&amp;TEXT(A7,"00")&amp;"_AI.mp4"</f>
        <v>DG_S06_AI.mp4</v>
      </c>
      <c r="I7" s="9" t="s">
        <v>57</v>
      </c>
    </row>
    <row r="8" customFormat="false" ht="46.25" hidden="false" customHeight="false" outlineLevel="0" collapsed="false">
      <c r="A8" s="8" t="n">
        <v>10</v>
      </c>
      <c r="B8" s="8" t="s">
        <v>59</v>
      </c>
      <c r="C8" s="8" t="s">
        <v>147</v>
      </c>
      <c r="D8" s="8" t="s">
        <v>140</v>
      </c>
      <c r="E8" s="8" t="s">
        <v>148</v>
      </c>
      <c r="F8" s="8" t="n">
        <v>3</v>
      </c>
      <c r="G8" s="8" t="s">
        <v>142</v>
      </c>
      <c r="H8" s="9" t="str">
        <f aca="false">"DG_S"&amp;TEXT(A8,"00")&amp;"_AI.mp4"</f>
        <v>DG_S10_AI.mp4</v>
      </c>
      <c r="I8" s="9" t="s">
        <v>57</v>
      </c>
    </row>
    <row r="9" customFormat="false" ht="35.05" hidden="false" customHeight="false" outlineLevel="0" collapsed="false">
      <c r="A9" s="8" t="n">
        <v>11</v>
      </c>
      <c r="B9" s="8" t="s">
        <v>59</v>
      </c>
      <c r="C9" s="8" t="s">
        <v>149</v>
      </c>
      <c r="D9" s="8" t="s">
        <v>140</v>
      </c>
      <c r="E9" s="8" t="s">
        <v>150</v>
      </c>
      <c r="F9" s="8" t="n">
        <v>3</v>
      </c>
      <c r="G9" s="8" t="s">
        <v>142</v>
      </c>
      <c r="H9" s="9" t="str">
        <f aca="false">"DG_S"&amp;TEXT(A9,"00")&amp;"_AI.mp4"</f>
        <v>DG_S11_AI.mp4</v>
      </c>
      <c r="I9" s="9" t="s">
        <v>57</v>
      </c>
    </row>
    <row r="10" customFormat="false" ht="46.25" hidden="false" customHeight="false" outlineLevel="0" collapsed="false">
      <c r="A10" s="8" t="n">
        <v>12</v>
      </c>
      <c r="B10" s="8" t="s">
        <v>59</v>
      </c>
      <c r="C10" s="8" t="s">
        <v>151</v>
      </c>
      <c r="D10" s="8" t="s">
        <v>140</v>
      </c>
      <c r="E10" s="8" t="s">
        <v>152</v>
      </c>
      <c r="F10" s="8" t="n">
        <v>3</v>
      </c>
      <c r="G10" s="8" t="s">
        <v>142</v>
      </c>
      <c r="H10" s="9" t="str">
        <f aca="false">"DG_S"&amp;TEXT(A10,"00")&amp;"_AI.mp4"</f>
        <v>DG_S12_AI.mp4</v>
      </c>
      <c r="I10" s="9" t="s">
        <v>57</v>
      </c>
    </row>
    <row r="11" customFormat="false" ht="35.05" hidden="false" customHeight="false" outlineLevel="0" collapsed="false">
      <c r="A11" s="8" t="n">
        <v>13</v>
      </c>
      <c r="B11" s="8" t="s">
        <v>59</v>
      </c>
      <c r="C11" s="8" t="s">
        <v>153</v>
      </c>
      <c r="D11" s="8" t="s">
        <v>140</v>
      </c>
      <c r="E11" s="8" t="s">
        <v>154</v>
      </c>
      <c r="F11" s="8" t="n">
        <v>3</v>
      </c>
      <c r="G11" s="8" t="s">
        <v>142</v>
      </c>
      <c r="H11" s="9" t="str">
        <f aca="false">"DG_S"&amp;TEXT(A11,"00")&amp;"_AI.mp4"</f>
        <v>DG_S13_AI.mp4</v>
      </c>
      <c r="I11" s="9" t="s">
        <v>57</v>
      </c>
    </row>
    <row r="12" customFormat="false" ht="35.05" hidden="false" customHeight="false" outlineLevel="0" collapsed="false">
      <c r="A12" s="8" t="n">
        <v>14</v>
      </c>
      <c r="B12" s="8" t="s">
        <v>59</v>
      </c>
      <c r="C12" s="8" t="s">
        <v>155</v>
      </c>
      <c r="D12" s="8" t="s">
        <v>140</v>
      </c>
      <c r="E12" s="8" t="s">
        <v>156</v>
      </c>
      <c r="F12" s="8" t="n">
        <v>3</v>
      </c>
      <c r="G12" s="8" t="s">
        <v>142</v>
      </c>
      <c r="H12" s="9" t="str">
        <f aca="false">"DG_S"&amp;TEXT(A12,"00")&amp;"_AI.mp4"</f>
        <v>DG_S14_AI.mp4</v>
      </c>
      <c r="I12" s="9" t="s">
        <v>57</v>
      </c>
    </row>
    <row r="13" customFormat="false" ht="46.25" hidden="false" customHeight="false" outlineLevel="0" collapsed="false">
      <c r="A13" s="8" t="n">
        <v>15</v>
      </c>
      <c r="B13" s="8" t="s">
        <v>104</v>
      </c>
      <c r="C13" s="8" t="s">
        <v>157</v>
      </c>
      <c r="D13" s="8" t="s">
        <v>140</v>
      </c>
      <c r="E13" s="8" t="s">
        <v>158</v>
      </c>
      <c r="F13" s="8" t="n">
        <v>3</v>
      </c>
      <c r="G13" s="8" t="s">
        <v>142</v>
      </c>
      <c r="H13" s="9" t="str">
        <f aca="false">"DG_S"&amp;TEXT(A13,"00")&amp;"_AI.mp4"</f>
        <v>DG_S15_AI.mp4</v>
      </c>
      <c r="I13" s="9" t="s">
        <v>57</v>
      </c>
    </row>
    <row r="14" customFormat="false" ht="35.05" hidden="false" customHeight="false" outlineLevel="0" collapsed="false">
      <c r="A14" s="8" t="n">
        <v>21</v>
      </c>
      <c r="B14" s="8" t="s">
        <v>59</v>
      </c>
      <c r="C14" s="8" t="s">
        <v>159</v>
      </c>
      <c r="D14" s="8" t="s">
        <v>140</v>
      </c>
      <c r="E14" s="8" t="s">
        <v>160</v>
      </c>
      <c r="F14" s="8" t="n">
        <v>3</v>
      </c>
      <c r="G14" s="8" t="s">
        <v>142</v>
      </c>
      <c r="H14" s="9" t="str">
        <f aca="false">"DG_S"&amp;TEXT(A14,"00")&amp;"_AI.mp4"</f>
        <v>DG_S21_AI.mp4</v>
      </c>
      <c r="I14" s="9" t="s">
        <v>57</v>
      </c>
    </row>
    <row r="15" customFormat="false" ht="35.05" hidden="false" customHeight="false" outlineLevel="0" collapsed="false">
      <c r="A15" s="8" t="n">
        <v>22</v>
      </c>
      <c r="B15" s="8" t="s">
        <v>59</v>
      </c>
      <c r="C15" s="8" t="s">
        <v>161</v>
      </c>
      <c r="D15" s="8" t="s">
        <v>140</v>
      </c>
      <c r="E15" s="8" t="s">
        <v>162</v>
      </c>
      <c r="F15" s="8" t="n">
        <v>3</v>
      </c>
      <c r="G15" s="8" t="s">
        <v>142</v>
      </c>
      <c r="H15" s="9" t="str">
        <f aca="false">"DG_S"&amp;TEXT(A15,"00")&amp;"_AI.mp4"</f>
        <v>DG_S22_AI.mp4</v>
      </c>
      <c r="I15" s="9" t="s">
        <v>57</v>
      </c>
    </row>
    <row r="17" customFormat="false" ht="15" hidden="false" customHeight="false" outlineLevel="0" collapsed="false">
      <c r="A17" s="12" t="s">
        <v>163</v>
      </c>
    </row>
  </sheetData>
  <dataValidations count="1">
    <dataValidation allowBlank="true" errorStyle="stop" operator="between" showDropDown="false" showErrorMessage="false" showInputMessage="false" sqref="I5:I15" type="list">
      <formula1>"To Do,In Progress,Done,Approved"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5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26.85" hidden="false" customHeight="false" outlineLevel="0" collapsed="false">
      <c r="A4" s="7" t="s">
        <v>40</v>
      </c>
      <c r="B4" s="7" t="s">
        <v>166</v>
      </c>
      <c r="C4" s="7" t="s">
        <v>167</v>
      </c>
      <c r="D4" s="7" t="s">
        <v>168</v>
      </c>
      <c r="E4" s="7" t="s">
        <v>169</v>
      </c>
      <c r="F4" s="7" t="s">
        <v>170</v>
      </c>
      <c r="G4" s="7" t="s">
        <v>171</v>
      </c>
      <c r="H4" s="7" t="s">
        <v>50</v>
      </c>
    </row>
    <row r="5" customFormat="false" ht="15" hidden="false" customHeight="false" outlineLevel="0" collapsed="false">
      <c r="A5" s="8" t="n">
        <v>4</v>
      </c>
      <c r="B5" s="8" t="s">
        <v>172</v>
      </c>
      <c r="C5" s="8" t="s">
        <v>173</v>
      </c>
      <c r="D5" s="8" t="n">
        <v>8</v>
      </c>
      <c r="E5" s="8" t="s">
        <v>174</v>
      </c>
      <c r="F5" s="9" t="str">
        <f aca="false">IF(ISNUMBER(A5),"DG_S"&amp;TEXT(A5,"00")&amp;"_BROLL.mp4","DG_EXTRA_"&amp;ROW()-4)</f>
        <v>DG_S04_BROLL.mp4</v>
      </c>
      <c r="G5" s="9" t="s">
        <v>175</v>
      </c>
      <c r="H5" s="9" t="s">
        <v>57</v>
      </c>
    </row>
    <row r="6" customFormat="false" ht="23.85" hidden="false" customHeight="false" outlineLevel="0" collapsed="false">
      <c r="A6" s="8" t="n">
        <v>5</v>
      </c>
      <c r="B6" s="8" t="s">
        <v>176</v>
      </c>
      <c r="C6" s="8" t="s">
        <v>177</v>
      </c>
      <c r="D6" s="8" t="n">
        <v>8</v>
      </c>
      <c r="E6" s="8" t="s">
        <v>178</v>
      </c>
      <c r="F6" s="9" t="str">
        <f aca="false">IF(ISNUMBER(A6),"DG_S"&amp;TEXT(A6,"00")&amp;"_BROLL.mp4","DG_EXTRA_"&amp;ROW()-4)</f>
        <v>DG_S05_BROLL.mp4</v>
      </c>
      <c r="G6" s="9" t="s">
        <v>175</v>
      </c>
      <c r="H6" s="9" t="s">
        <v>57</v>
      </c>
    </row>
    <row r="7" customFormat="false" ht="15" hidden="false" customHeight="false" outlineLevel="0" collapsed="false">
      <c r="A7" s="8" t="n">
        <v>8</v>
      </c>
      <c r="B7" s="8" t="s">
        <v>179</v>
      </c>
      <c r="C7" s="8" t="s">
        <v>180</v>
      </c>
      <c r="D7" s="8" t="n">
        <v>6</v>
      </c>
      <c r="E7" s="8" t="s">
        <v>181</v>
      </c>
      <c r="F7" s="9" t="str">
        <f aca="false">IF(ISNUMBER(A7),"DG_S"&amp;TEXT(A7,"00")&amp;"_BROLL.mp4","DG_EXTRA_"&amp;ROW()-4)</f>
        <v>DG_S08_BROLL.mp4</v>
      </c>
      <c r="G7" s="9" t="s">
        <v>175</v>
      </c>
      <c r="H7" s="9" t="s">
        <v>57</v>
      </c>
    </row>
    <row r="8" customFormat="false" ht="15" hidden="false" customHeight="false" outlineLevel="0" collapsed="false">
      <c r="A8" s="8" t="n">
        <v>9</v>
      </c>
      <c r="B8" s="8" t="s">
        <v>182</v>
      </c>
      <c r="C8" s="8" t="s">
        <v>183</v>
      </c>
      <c r="D8" s="8" t="n">
        <v>4</v>
      </c>
      <c r="E8" s="8"/>
      <c r="F8" s="9" t="str">
        <f aca="false">IF(ISNUMBER(A8),"DG_S"&amp;TEXT(A8,"00")&amp;"_BROLL.mp4","DG_EXTRA_"&amp;ROW()-4)</f>
        <v>DG_S09_BROLL.mp4</v>
      </c>
      <c r="G8" s="9" t="s">
        <v>175</v>
      </c>
      <c r="H8" s="9" t="s">
        <v>57</v>
      </c>
    </row>
    <row r="9" customFormat="false" ht="15" hidden="false" customHeight="false" outlineLevel="0" collapsed="false">
      <c r="A9" s="8" t="n">
        <v>16</v>
      </c>
      <c r="B9" s="8" t="s">
        <v>184</v>
      </c>
      <c r="C9" s="8" t="s">
        <v>185</v>
      </c>
      <c r="D9" s="8" t="n">
        <v>6</v>
      </c>
      <c r="E9" s="8" t="s">
        <v>186</v>
      </c>
      <c r="F9" s="9" t="str">
        <f aca="false">IF(ISNUMBER(A9),"DG_S"&amp;TEXT(A9,"00")&amp;"_BROLL.mp4","DG_EXTRA_"&amp;ROW()-4)</f>
        <v>DG_S16_BROLL.mp4</v>
      </c>
      <c r="G9" s="9" t="s">
        <v>175</v>
      </c>
      <c r="H9" s="9" t="s">
        <v>57</v>
      </c>
    </row>
    <row r="10" customFormat="false" ht="15" hidden="false" customHeight="false" outlineLevel="0" collapsed="false">
      <c r="A10" s="8" t="n">
        <v>17</v>
      </c>
      <c r="B10" s="8" t="s">
        <v>187</v>
      </c>
      <c r="C10" s="8" t="s">
        <v>188</v>
      </c>
      <c r="D10" s="8" t="n">
        <v>6</v>
      </c>
      <c r="E10" s="8" t="s">
        <v>189</v>
      </c>
      <c r="F10" s="9" t="str">
        <f aca="false">IF(ISNUMBER(A10),"DG_S"&amp;TEXT(A10,"00")&amp;"_BROLL.mp4","DG_EXTRA_"&amp;ROW()-4)</f>
        <v>DG_S17_BROLL.mp4</v>
      </c>
      <c r="G10" s="9" t="s">
        <v>175</v>
      </c>
      <c r="H10" s="9" t="s">
        <v>57</v>
      </c>
    </row>
    <row r="11" customFormat="false" ht="15" hidden="false" customHeight="false" outlineLevel="0" collapsed="false">
      <c r="A11" s="8" t="n">
        <v>18</v>
      </c>
      <c r="B11" s="8" t="s">
        <v>190</v>
      </c>
      <c r="C11" s="8" t="s">
        <v>191</v>
      </c>
      <c r="D11" s="8" t="n">
        <v>10</v>
      </c>
      <c r="E11" s="8" t="s">
        <v>192</v>
      </c>
      <c r="F11" s="9" t="str">
        <f aca="false">IF(ISNUMBER(A11),"DG_S"&amp;TEXT(A11,"00")&amp;"_BROLL.mp4","DG_EXTRA_"&amp;ROW()-4)</f>
        <v>DG_S18_BROLL.mp4</v>
      </c>
      <c r="G11" s="9" t="s">
        <v>175</v>
      </c>
      <c r="H11" s="9" t="s">
        <v>57</v>
      </c>
    </row>
    <row r="12" customFormat="false" ht="15" hidden="false" customHeight="false" outlineLevel="0" collapsed="false">
      <c r="A12" s="8" t="n">
        <v>19</v>
      </c>
      <c r="B12" s="8" t="s">
        <v>193</v>
      </c>
      <c r="C12" s="8" t="s">
        <v>194</v>
      </c>
      <c r="D12" s="8" t="n">
        <v>12</v>
      </c>
      <c r="E12" s="8" t="s">
        <v>195</v>
      </c>
      <c r="F12" s="9" t="str">
        <f aca="false">IF(ISNUMBER(A12),"DG_S"&amp;TEXT(A12,"00")&amp;"_BROLL.mp4","DG_EXTRA_"&amp;ROW()-4)</f>
        <v>DG_S19_BROLL.mp4</v>
      </c>
      <c r="G12" s="9" t="s">
        <v>175</v>
      </c>
      <c r="H12" s="9" t="s">
        <v>57</v>
      </c>
    </row>
    <row r="13" customFormat="false" ht="15" hidden="false" customHeight="false" outlineLevel="0" collapsed="false">
      <c r="A13" s="8" t="n">
        <v>20</v>
      </c>
      <c r="B13" s="8" t="s">
        <v>196</v>
      </c>
      <c r="C13" s="8" t="s">
        <v>197</v>
      </c>
      <c r="D13" s="8" t="n">
        <v>6</v>
      </c>
      <c r="E13" s="8"/>
      <c r="F13" s="9" t="str">
        <f aca="false">IF(ISNUMBER(A13),"DG_S"&amp;TEXT(A13,"00")&amp;"_BROLL.mp4","DG_EXTRA_"&amp;ROW()-4)</f>
        <v>DG_S20_BROLL.mp4</v>
      </c>
      <c r="G13" s="9" t="s">
        <v>175</v>
      </c>
      <c r="H13" s="9" t="s">
        <v>57</v>
      </c>
    </row>
    <row r="14" customFormat="false" ht="15" hidden="false" customHeight="false" outlineLevel="0" collapsed="false">
      <c r="A14" s="8" t="s">
        <v>198</v>
      </c>
      <c r="B14" s="8" t="s">
        <v>199</v>
      </c>
      <c r="C14" s="8" t="s">
        <v>200</v>
      </c>
      <c r="D14" s="8" t="n">
        <v>5</v>
      </c>
      <c r="E14" s="8" t="s">
        <v>201</v>
      </c>
      <c r="F14" s="9" t="str">
        <f aca="false">IF(ISNUMBER(A14),"DG_S"&amp;TEXT(A14,"00")&amp;"_BROLL.mp4","DG_EXTRA_"&amp;ROW()-4)</f>
        <v>DG_EXTRA_10</v>
      </c>
      <c r="G14" s="9" t="s">
        <v>175</v>
      </c>
      <c r="H14" s="9" t="s">
        <v>57</v>
      </c>
    </row>
    <row r="15" customFormat="false" ht="15" hidden="false" customHeight="false" outlineLevel="0" collapsed="false">
      <c r="A15" s="8" t="s">
        <v>198</v>
      </c>
      <c r="B15" s="8" t="s">
        <v>202</v>
      </c>
      <c r="C15" s="8" t="s">
        <v>203</v>
      </c>
      <c r="D15" s="8" t="n">
        <v>0</v>
      </c>
      <c r="E15" s="8" t="s">
        <v>204</v>
      </c>
      <c r="F15" s="9" t="str">
        <f aca="false">IF(ISNUMBER(A15),"DG_S"&amp;TEXT(A15,"00")&amp;"_BROLL.mp4","DG_EXTRA_"&amp;ROW()-4)</f>
        <v>DG_EXTRA_11</v>
      </c>
      <c r="G15" s="9" t="s">
        <v>175</v>
      </c>
      <c r="H15" s="9" t="s">
        <v>57</v>
      </c>
    </row>
    <row r="16" customFormat="false" ht="15" hidden="false" customHeight="false" outlineLevel="0" collapsed="false">
      <c r="A16" s="8" t="s">
        <v>198</v>
      </c>
      <c r="B16" s="8" t="s">
        <v>205</v>
      </c>
      <c r="C16" s="8" t="s">
        <v>71</v>
      </c>
      <c r="D16" s="8" t="n">
        <v>0</v>
      </c>
      <c r="E16" s="8" t="s">
        <v>206</v>
      </c>
      <c r="F16" s="9" t="str">
        <f aca="false">IF(ISNUMBER(A16),"DG_S"&amp;TEXT(A16,"00")&amp;"_BROLL.mp4","DG_EXTRA_"&amp;ROW()-4)</f>
        <v>DG_EXTRA_12</v>
      </c>
      <c r="G16" s="9" t="s">
        <v>175</v>
      </c>
      <c r="H16" s="9" t="s">
        <v>57</v>
      </c>
    </row>
    <row r="18" customFormat="false" ht="15" hidden="false" customHeight="false" outlineLevel="0" collapsed="false">
      <c r="B18" s="10" t="s">
        <v>207</v>
      </c>
      <c r="D18" s="10" t="str">
        <f aca="false">COUNTIF(G5:G16,"Yes")&amp;" / "&amp;COUNTA(B5:B16)</f>
        <v>0 / 12</v>
      </c>
    </row>
  </sheetData>
  <dataValidations count="2">
    <dataValidation allowBlank="false" errorStyle="stop" operator="between" showDropDown="false" showErrorMessage="false" showInputMessage="false" sqref="G5:G16" type="list">
      <formula1>"Yes,No"</formula1>
      <formula2>0</formula2>
    </dataValidation>
    <dataValidation allowBlank="true" errorStyle="stop" operator="between" showDropDown="false" showErrorMessage="false" showInputMessage="false" sqref="H5:H16" type="list">
      <formula1>"To Do,In Progress,Done,Approved"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6" min="5" style="0" width="60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26.85" hidden="false" customHeight="false" outlineLevel="0" collapsed="false">
      <c r="A4" s="7" t="s">
        <v>210</v>
      </c>
      <c r="B4" s="7" t="s">
        <v>42</v>
      </c>
      <c r="C4" s="7" t="s">
        <v>43</v>
      </c>
      <c r="D4" s="7" t="s">
        <v>211</v>
      </c>
      <c r="E4" s="7" t="s">
        <v>212</v>
      </c>
      <c r="F4" s="7" t="s">
        <v>213</v>
      </c>
      <c r="G4" s="7" t="s">
        <v>214</v>
      </c>
      <c r="H4" s="7" t="s">
        <v>215</v>
      </c>
    </row>
    <row r="5" customFormat="false" ht="23.85" hidden="false" customHeight="false" outlineLevel="0" collapsed="false">
      <c r="A5" s="8" t="s">
        <v>216</v>
      </c>
      <c r="B5" s="8" t="n">
        <v>0</v>
      </c>
      <c r="C5" s="8" t="n">
        <v>6</v>
      </c>
      <c r="D5" s="8" t="n">
        <f aca="false">C5-B5</f>
        <v>6</v>
      </c>
      <c r="E5" s="8" t="s">
        <v>217</v>
      </c>
      <c r="F5" s="8" t="s">
        <v>218</v>
      </c>
      <c r="G5" s="8" t="n">
        <f aca="false">LEN(TRIM(E5))-LEN(SUBSTITUTE(TRIM(E5)," ",""))+1</f>
        <v>14</v>
      </c>
      <c r="H5" s="8" t="str">
        <f aca="false">IF(G5/D5&lt;=2.5,"OK","Too long — trim")</f>
        <v>OK</v>
      </c>
    </row>
    <row r="6" customFormat="false" ht="15" hidden="false" customHeight="false" outlineLevel="0" collapsed="false">
      <c r="A6" s="8" t="s">
        <v>219</v>
      </c>
      <c r="B6" s="8" t="n">
        <v>6</v>
      </c>
      <c r="C6" s="8" t="n">
        <v>11</v>
      </c>
      <c r="D6" s="8" t="n">
        <f aca="false">C6-B6</f>
        <v>5</v>
      </c>
      <c r="E6" s="8" t="s">
        <v>220</v>
      </c>
      <c r="F6" s="8" t="s">
        <v>221</v>
      </c>
      <c r="G6" s="8" t="n">
        <f aca="false">LEN(TRIM(E6))-LEN(SUBSTITUTE(TRIM(E6)," ",""))+1</f>
        <v>7</v>
      </c>
      <c r="H6" s="8" t="str">
        <f aca="false">IF(G6/D6&lt;=2.5,"OK","Too long — trim")</f>
        <v>OK</v>
      </c>
    </row>
    <row r="7" customFormat="false" ht="23.85" hidden="false" customHeight="false" outlineLevel="0" collapsed="false">
      <c r="A7" s="8" t="s">
        <v>222</v>
      </c>
      <c r="B7" s="8" t="n">
        <v>11</v>
      </c>
      <c r="C7" s="8" t="n">
        <v>19</v>
      </c>
      <c r="D7" s="8" t="n">
        <f aca="false">C7-B7</f>
        <v>8</v>
      </c>
      <c r="E7" s="8" t="s">
        <v>223</v>
      </c>
      <c r="F7" s="8" t="s">
        <v>224</v>
      </c>
      <c r="G7" s="8" t="n">
        <f aca="false">LEN(TRIM(E7))-LEN(SUBSTITUTE(TRIM(E7)," ",""))+1</f>
        <v>10</v>
      </c>
      <c r="H7" s="8" t="str">
        <f aca="false">IF(G7/D7&lt;=2.5,"OK","Too long — trim")</f>
        <v>OK</v>
      </c>
    </row>
    <row r="8" customFormat="false" ht="15" hidden="false" customHeight="false" outlineLevel="0" collapsed="false">
      <c r="A8" s="8" t="s">
        <v>225</v>
      </c>
      <c r="B8" s="8" t="n">
        <v>19</v>
      </c>
      <c r="C8" s="8" t="n">
        <v>24</v>
      </c>
      <c r="D8" s="8" t="n">
        <f aca="false">C8-B8</f>
        <v>5</v>
      </c>
      <c r="E8" s="8" t="s">
        <v>226</v>
      </c>
      <c r="F8" s="8" t="s">
        <v>227</v>
      </c>
      <c r="G8" s="8" t="n">
        <f aca="false">LEN(TRIM(E8))-LEN(SUBSTITUTE(TRIM(E8)," ",""))+1</f>
        <v>8</v>
      </c>
      <c r="H8" s="8" t="str">
        <f aca="false">IF(G8/D8&lt;=2.5,"OK","Too long — trim")</f>
        <v>OK</v>
      </c>
    </row>
    <row r="9" customFormat="false" ht="15" hidden="false" customHeight="false" outlineLevel="0" collapsed="false">
      <c r="A9" s="8" t="s">
        <v>228</v>
      </c>
      <c r="B9" s="8" t="n">
        <v>24</v>
      </c>
      <c r="C9" s="8" t="n">
        <v>30</v>
      </c>
      <c r="D9" s="8" t="n">
        <f aca="false">C9-B9</f>
        <v>6</v>
      </c>
      <c r="E9" s="8" t="s">
        <v>229</v>
      </c>
      <c r="F9" s="8" t="s">
        <v>230</v>
      </c>
      <c r="G9" s="8" t="n">
        <f aca="false">LEN(TRIM(E9))-LEN(SUBSTITUTE(TRIM(E9)," ",""))+1</f>
        <v>8</v>
      </c>
      <c r="H9" s="8" t="str">
        <f aca="false">IF(G9/D9&lt;=2.5,"OK","Too long — trim")</f>
        <v>OK</v>
      </c>
    </row>
    <row r="10" customFormat="false" ht="15" hidden="false" customHeight="false" outlineLevel="0" collapsed="false">
      <c r="A10" s="8" t="s">
        <v>231</v>
      </c>
      <c r="B10" s="8" t="n">
        <v>30</v>
      </c>
      <c r="C10" s="8" t="n">
        <v>35</v>
      </c>
      <c r="D10" s="8" t="n">
        <f aca="false">C10-B10</f>
        <v>5</v>
      </c>
      <c r="E10" s="8" t="s">
        <v>232</v>
      </c>
      <c r="F10" s="8" t="s">
        <v>233</v>
      </c>
      <c r="G10" s="8" t="n">
        <f aca="false">LEN(TRIM(E10))-LEN(SUBSTITUTE(TRIM(E10)," ",""))+1</f>
        <v>8</v>
      </c>
      <c r="H10" s="8" t="str">
        <f aca="false">IF(G10/D10&lt;=2.5,"OK","Too long — trim")</f>
        <v>OK</v>
      </c>
    </row>
    <row r="11" customFormat="false" ht="23.85" hidden="false" customHeight="false" outlineLevel="0" collapsed="false">
      <c r="A11" s="8" t="s">
        <v>234</v>
      </c>
      <c r="B11" s="8" t="n">
        <v>35</v>
      </c>
      <c r="C11" s="8" t="n">
        <v>53</v>
      </c>
      <c r="D11" s="8" t="n">
        <f aca="false">C11-B11</f>
        <v>18</v>
      </c>
      <c r="E11" s="8" t="s">
        <v>235</v>
      </c>
      <c r="F11" s="8" t="s">
        <v>236</v>
      </c>
      <c r="G11" s="8" t="n">
        <f aca="false">LEN(TRIM(E11))-LEN(SUBSTITUTE(TRIM(E11)," ",""))+1</f>
        <v>18</v>
      </c>
      <c r="H11" s="8" t="str">
        <f aca="false">IF(G11/D11&lt;=2.5,"OK","Too long — trim")</f>
        <v>OK</v>
      </c>
    </row>
    <row r="12" customFormat="false" ht="15" hidden="false" customHeight="false" outlineLevel="0" collapsed="false">
      <c r="A12" s="8" t="s">
        <v>237</v>
      </c>
      <c r="B12" s="8" t="n">
        <v>53</v>
      </c>
      <c r="C12" s="8" t="n">
        <v>59</v>
      </c>
      <c r="D12" s="8" t="n">
        <f aca="false">C12-B12</f>
        <v>6</v>
      </c>
      <c r="E12" s="8" t="s">
        <v>238</v>
      </c>
      <c r="F12" s="8" t="s">
        <v>239</v>
      </c>
      <c r="G12" s="8" t="n">
        <f aca="false">LEN(TRIM(E12))-LEN(SUBSTITUTE(TRIM(E12)," ",""))+1</f>
        <v>12</v>
      </c>
      <c r="H12" s="8" t="str">
        <f aca="false">IF(G12/D12&lt;=2.5,"OK","Too long — trim")</f>
        <v>OK</v>
      </c>
    </row>
    <row r="13" customFormat="false" ht="23.85" hidden="false" customHeight="false" outlineLevel="0" collapsed="false">
      <c r="A13" s="8" t="s">
        <v>240</v>
      </c>
      <c r="B13" s="8" t="n">
        <v>59</v>
      </c>
      <c r="C13" s="8" t="n">
        <v>75</v>
      </c>
      <c r="D13" s="8" t="n">
        <f aca="false">C13-B13</f>
        <v>16</v>
      </c>
      <c r="E13" s="8" t="s">
        <v>241</v>
      </c>
      <c r="F13" s="8" t="s">
        <v>242</v>
      </c>
      <c r="G13" s="8" t="n">
        <f aca="false">LEN(TRIM(E13))-LEN(SUBSTITUTE(TRIM(E13)," ",""))+1</f>
        <v>14</v>
      </c>
      <c r="H13" s="8" t="str">
        <f aca="false">IF(G13/D13&lt;=2.5,"OK","Too long — trim")</f>
        <v>OK</v>
      </c>
    </row>
    <row r="14" customFormat="false" ht="15" hidden="false" customHeight="false" outlineLevel="0" collapsed="false">
      <c r="A14" s="8" t="s">
        <v>243</v>
      </c>
      <c r="B14" s="8" t="n">
        <v>75</v>
      </c>
      <c r="C14" s="8" t="n">
        <v>81</v>
      </c>
      <c r="D14" s="8" t="n">
        <f aca="false">C14-B14</f>
        <v>6</v>
      </c>
      <c r="E14" s="8" t="s">
        <v>244</v>
      </c>
      <c r="F14" s="8" t="s">
        <v>245</v>
      </c>
      <c r="G14" s="8" t="n">
        <f aca="false">LEN(TRIM(E14))-LEN(SUBSTITUTE(TRIM(E14)," ",""))+1</f>
        <v>8</v>
      </c>
      <c r="H14" s="8" t="str">
        <f aca="false">IF(G14/D14&lt;=2.5,"OK","Too long — trim")</f>
        <v>OK</v>
      </c>
    </row>
    <row r="15" customFormat="false" ht="15" hidden="false" customHeight="false" outlineLevel="0" collapsed="false">
      <c r="A15" s="8" t="s">
        <v>246</v>
      </c>
      <c r="B15" s="8" t="n">
        <v>81</v>
      </c>
      <c r="C15" s="8" t="n">
        <v>85</v>
      </c>
      <c r="D15" s="8" t="n">
        <f aca="false">C15-B15</f>
        <v>4</v>
      </c>
      <c r="E15" s="8" t="s">
        <v>247</v>
      </c>
      <c r="F15" s="8" t="s">
        <v>248</v>
      </c>
      <c r="G15" s="8" t="n">
        <f aca="false">LEN(TRIM(E15))-LEN(SUBSTITUTE(TRIM(E15)," ",""))+1</f>
        <v>9</v>
      </c>
      <c r="H15" s="8" t="str">
        <f aca="false">IF(G15/D15&lt;=2.5,"OK","Too long — trim")</f>
        <v>OK</v>
      </c>
    </row>
    <row r="17" customFormat="false" ht="15" hidden="false" customHeight="false" outlineLevel="0" collapsed="false">
      <c r="F17" s="10" t="s">
        <v>249</v>
      </c>
      <c r="G17" s="10" t="n">
        <f aca="false">SUM(G5:G15)</f>
        <v>116</v>
      </c>
    </row>
    <row r="19" customFormat="false" ht="15" hidden="false" customHeight="false" outlineLevel="0" collapsed="false">
      <c r="A19" s="1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7" t="s">
        <v>253</v>
      </c>
      <c r="B4" s="7" t="s">
        <v>254</v>
      </c>
    </row>
    <row r="5" customFormat="false" ht="15" hidden="false" customHeight="false" outlineLevel="0" collapsed="false">
      <c r="A5" s="8" t="s">
        <v>255</v>
      </c>
      <c r="B5" s="9" t="s">
        <v>256</v>
      </c>
    </row>
    <row r="6" customFormat="false" ht="15" hidden="false" customHeight="false" outlineLevel="0" collapsed="false">
      <c r="A6" s="8" t="s">
        <v>257</v>
      </c>
      <c r="B6" s="9" t="s">
        <v>258</v>
      </c>
    </row>
    <row r="7" customFormat="false" ht="15" hidden="false" customHeight="false" outlineLevel="0" collapsed="false">
      <c r="A7" s="8" t="s">
        <v>259</v>
      </c>
      <c r="B7" s="9" t="s">
        <v>260</v>
      </c>
    </row>
    <row r="8" customFormat="false" ht="15" hidden="false" customHeight="false" outlineLevel="0" collapsed="false">
      <c r="A8" s="8" t="s">
        <v>261</v>
      </c>
      <c r="B8" s="9" t="s">
        <v>262</v>
      </c>
    </row>
    <row r="9" customFormat="false" ht="15" hidden="false" customHeight="false" outlineLevel="0" collapsed="false">
      <c r="A9" s="8" t="s">
        <v>263</v>
      </c>
      <c r="B9" s="9" t="s">
        <v>264</v>
      </c>
    </row>
    <row r="10" customFormat="false" ht="15" hidden="false" customHeight="false" outlineLevel="0" collapsed="false">
      <c r="A10" s="8" t="s">
        <v>265</v>
      </c>
      <c r="B10" s="9" t="s">
        <v>266</v>
      </c>
    </row>
    <row r="11" customFormat="false" ht="15" hidden="false" customHeight="false" outlineLevel="0" collapsed="false">
      <c r="A11" s="8" t="s">
        <v>267</v>
      </c>
      <c r="B11" s="9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2026-10-30T12:34:33Z</dcterms:created>
  <dc:creator>openpyxl</dc:creator>
  <dc:description/>
  <dc:language>en-US</dc:language>
  <cp:lastModifiedBy/>
  <dcterms:modified xsi:type="dcterms:W3CDTF">2026-10-30T12:34:33Z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