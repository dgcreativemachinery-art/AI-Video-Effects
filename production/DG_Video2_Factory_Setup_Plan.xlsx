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cept" sheetId="1" state="visible" r:id="rId3"/>
    <sheet name="Script_Urdu" sheetId="2" state="visible" r:id="rId4"/>
    <sheet name="Original_BRoll" sheetId="3" state="visible" r:id="rId5"/>
    <sheet name="AI_Shots" sheetId="4" state="visible" r:id="rId6"/>
    <sheet name="Factory_Checklist" sheetId="5" state="visible" r:id="rId7"/>
    <sheet name="Budget_Estimator" sheetId="6" state="visible" r:id="rId8"/>
    <sheet name="Need_From_You" sheetId="7" state="visible" r:id="rId9"/>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F17" authorId="0">
      <text>
        <r>
          <rPr>
            <sz val="10"/>
            <rFont val="Arial"/>
            <family val="2"/>
          </rPr>
          <t xml:space="preserve">Higgsfield balance checked 30 Oct 2026 after video 1.</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C21" authorId="0">
      <text>
        <r>
          <rPr>
            <sz val="10"/>
            <rFont val="Arial"/>
            <family val="2"/>
          </rPr>
          <t xml:space="preserve">Assumption: 3 months cushion. Change as needed.</t>
        </r>
      </text>
    </comment>
    <comment ref="C23" authorId="0">
      <text>
        <r>
          <rPr>
            <sz val="10"/>
            <rFont val="Arial"/>
            <family val="2"/>
          </rPr>
          <t xml:space="preserve">Assumption: 10% buffer for unexpected costs.</t>
        </r>
      </text>
    </comment>
  </commentList>
</comments>
</file>

<file path=xl/sharedStrings.xml><?xml version="1.0" encoding="utf-8"?>
<sst xmlns="http://schemas.openxmlformats.org/spreadsheetml/2006/main" count="402" uniqueCount="286">
  <si>
    <t xml:space="preserve">Video 2 — 'Plastic Factory Lagani Hai? Pehle Yeh 7 Qadam Samjhein'</t>
  </si>
  <si>
    <t xml:space="preserve">DG Tech Machinery · Urdu · 4K 16:9 · ~100 sec · Educational + showcase (customer ki asli factory, 10 DG SOUND machines)</t>
  </si>
  <si>
    <t xml:space="preserve">IDEA</t>
  </si>
  <si>
    <t xml:space="preserve">Kyun yeh concept</t>
  </si>
  <si>
    <t xml:space="preserve">Log DG se poochte hain: factory kaise lagayein, kitni machines, kitna budget. Yeh video unke sawalon ka jawab deti hai, aur jawab dete hue asli factory dikhati hai jahan 10 DG SOUND machines chal rahi hain. Bharosa + lead dono milte hain.</t>
  </si>
  <si>
    <t xml:space="preserve">Hook (pehle 5 sec)</t>
  </si>
  <si>
    <t xml:space="preserve">'Plastic factory lagana chahte hain? Machine khareedne se pehle yeh video zaroor dekhein.' + factory ka wide shot jisme 10 machines ek line mein chal rahi hon.</t>
  </si>
  <si>
    <t xml:space="preserve">Structure</t>
  </si>
  <si>
    <t xml:space="preserve">Hook → Factory intro → 7 qadam (Product, Machine, Mould, Jagah &amp; Bijli, Support machinery, Budget, Team &amp; Service) → DG har qadam par saath → Customer ki ek line (optional) → CTA</t>
  </si>
  <si>
    <t xml:space="preserve">Kis ke liye</t>
  </si>
  <si>
    <t xml:space="preserve">Naye investors, chhote factory owners jo expand karna chahte hain, distributors.</t>
  </si>
  <si>
    <t xml:space="preserve">CTA</t>
  </si>
  <si>
    <t xml:space="preserve">'Apni factory ka plan aur budget jaanne ke liye aaj hi DG Tech Machinery se raabta karein.' + phone numbers</t>
  </si>
  <si>
    <t xml:space="preserve">2 AUR OPTIONS (agar yeh pasand na aaye)</t>
  </si>
  <si>
    <t xml:space="preserve">Option B — Factory Tour</t>
  </si>
  <si>
    <t xml:space="preserve">Sirf customer factory ka tour: owner khud batata hai kitni machines, kya bana rahe hain, DG kyun chuni. Kam script, zyada asli footage. Owner ka camera par aana zaroori.</t>
  </si>
  <si>
    <t xml:space="preserve">Option C — Budget Explainer</t>
  </si>
  <si>
    <t xml:space="preserve">'10 machine ki factory ka kharcha kahan kahan lagta hai' — graphics heavy, kam footage. Lekin DG ko asli price ranges dene honge.</t>
  </si>
  <si>
    <t xml:space="preserve">YELLOW CELLS</t>
  </si>
  <si>
    <t xml:space="preserve">Woh hain jo aapko bharne / confirm karne hain.</t>
  </si>
  <si>
    <t xml:space="preserve">Credits plan</t>
  </si>
  <si>
    <t xml:space="preserve">Is video mein Higgsfield bahut kam: sirf 4 AI clips + Urdu VO (≈ 45 credits). Baaki sab aapki footage + free motion graphics. Dekhein tab 'AI_Shots'.</t>
  </si>
  <si>
    <t xml:space="preserve">Script + Scene Plan</t>
  </si>
  <si>
    <t xml:space="preserve">Source: ORIGINAL = aap shoot karenge · GRAPHIC = main free mein banaunga · AI = Higgsfield (kam credits). Timing approx; VO record hone ke baad final hogi.</t>
  </si>
  <si>
    <t xml:space="preserve">Scene</t>
  </si>
  <si>
    <t xml:space="preserve">Section</t>
  </si>
  <si>
    <t xml:space="preserve">Start (s)</t>
  </si>
  <si>
    <t xml:space="preserve">End (s)</t>
  </si>
  <si>
    <t xml:space="preserve">Dur (s)</t>
  </si>
  <si>
    <t xml:space="preserve">VO — Urdu</t>
  </si>
  <si>
    <t xml:space="preserve">VO — Roman Urdu</t>
  </si>
  <si>
    <t xml:space="preserve">Visual</t>
  </si>
  <si>
    <t xml:space="preserve">Source</t>
  </si>
  <si>
    <t xml:space="preserve">On-screen text</t>
  </si>
  <si>
    <t xml:space="preserve">Status</t>
  </si>
  <si>
    <t xml:space="preserve">Hook</t>
  </si>
  <si>
    <t xml:space="preserve">پلاسٹک فیکٹری لگانا چاہتے ہیں؟ مشین خریدنے سے پہلے یہ ویڈیو ضرور دیکھیں۔</t>
  </si>
  <si>
    <t xml:space="preserve">Plastic factory lagana chahte hain? Machine khareedne se pehle yeh video zaroor dekhein.</t>
  </si>
  <si>
    <t xml:space="preserve">Factory wide shot — 10 machines ek line mein chalti hui (drone / high angle)</t>
  </si>
  <si>
    <t xml:space="preserve">ORIGINAL</t>
  </si>
  <si>
    <t xml:space="preserve">PLASTIC FACTORY? WATCH THIS FIRST</t>
  </si>
  <si>
    <t xml:space="preserve">To Do</t>
  </si>
  <si>
    <t xml:space="preserve">Intro</t>
  </si>
  <si>
    <t xml:space="preserve">یہ فیکٹری ڈی جی ٹیک مشینری کی دس ساؤنڈ مشینوں پر چل رہی ہے۔ آئیے دیکھتے ہیں، ایسی فیکٹری کیسے لگتی ہے۔</t>
  </si>
  <si>
    <t xml:space="preserve">Yeh factory DG Tech Machinery ki das SOUND machines par chal rahi hai. Aaiye dekhte hain, aisi factory kaise lagti hai.</t>
  </si>
  <si>
    <t xml:space="preserve">Gimbal walk-through machines ki line ke saath + DG/SOUND logo close-up</t>
  </si>
  <si>
    <t xml:space="preserve">10 × DG SOUND MACHINES</t>
  </si>
  <si>
    <t xml:space="preserve">Qadam 1</t>
  </si>
  <si>
    <t xml:space="preserve">پہلا قدم: پروڈکٹ چنیں۔ کیا بنانا ہے، کس کو بیچنا ہے، اور مارکیٹ میں کتنی ڈیمانڈ ہے۔</t>
  </si>
  <si>
    <t xml:space="preserve">Pehla qadam: product chunein. Kya banana hai, kis ko bechna hai, aur market mein kitni demand hai.</t>
  </si>
  <si>
    <t xml:space="preserve">Factory ke bane hue products table par / crates mein + step card '01 PRODUCT'</t>
  </si>
  <si>
    <t xml:space="preserve">ORIGINAL + GRAPHIC</t>
  </si>
  <si>
    <t xml:space="preserve">01  PRODUCT &amp; MARKET</t>
  </si>
  <si>
    <t xml:space="preserve">Qadam 2</t>
  </si>
  <si>
    <t xml:space="preserve">دوسرا قدم: صحیح مشین۔ پروڈکٹ کے وزن اور سائز کے حساب سے مشین کا ٹن اور شاٹ سائز طے ہوتا ہے۔ غلط مشین کا مطلب ہے زیادہ بجلی اور کم پروڈکشن۔</t>
  </si>
  <si>
    <t xml:space="preserve">Doosra qadam: sahi machine. Product ke wazan aur size ke hisaab se machine ka ton aur shot size tay hota hai. Ghalat machine ka matlab hai zyada bijli aur kam production.</t>
  </si>
  <si>
    <t xml:space="preserve">Machine nameplate / tonnage close-up, HMI screen, injection unit close-up</t>
  </si>
  <si>
    <t xml:space="preserve">02  RIGHT MACHINE (TON / SHOT SIZE)</t>
  </si>
  <si>
    <t xml:space="preserve">Qadam 3</t>
  </si>
  <si>
    <t xml:space="preserve">تیسرا قدم: مولڈ۔ اچھا مولڈ ہی اچھی کوالٹی اور تیز سائیکل ٹائم دیتا ہے۔</t>
  </si>
  <si>
    <t xml:space="preserve">Teesra qadam: mould. Achha mould hi achhi quality aur tez cycle time deta hai.</t>
  </si>
  <si>
    <t xml:space="preserve">Mould khulna / parts girna, crane se mould change</t>
  </si>
  <si>
    <t xml:space="preserve">03  QUALITY MOULD</t>
  </si>
  <si>
    <t xml:space="preserve">Qadam 4</t>
  </si>
  <si>
    <t xml:space="preserve">چوتھا قدم: جگہ اور بجلی۔ مشینوں کی تعداد کے حساب سے شیڈ کا سائز، تھری فیز بجلی کا لوڈ، اور ضرورت ہو تو ٹرانسفارمر۔</t>
  </si>
  <si>
    <t xml:space="preserve">Chautha qadam: jagah aur bijli. Machinon ki tadaad ke hisaab se shed ka size, three-phase bijli ka load, aur zaroorat ho to transformer.</t>
  </si>
  <si>
    <t xml:space="preserve">AI: khaali shed → factory banti hui (before/after) + ORIGINAL: electrical panel, shed bahar se + GRAPHIC: 10-machine floor layout</t>
  </si>
  <si>
    <t xml:space="preserve">AI + ORIGINAL + GRAPHIC</t>
  </si>
  <si>
    <t xml:space="preserve">04  SPACE &amp; POWER</t>
  </si>
  <si>
    <t xml:space="preserve">Qadam 5</t>
  </si>
  <si>
    <t xml:space="preserve">پانچواں قدم: سپورٹ مشینری۔ چلر، ایئر کمپریسر، ڈرائر، اور ہاپر لوڈر۔ ان کے بغیر مشین پوری رفتار سے نہیں چلتی۔</t>
  </si>
  <si>
    <t xml:space="preserve">Paanchwan qadam: support machinery. Chiller, air compressor, dryer, aur hopper loader. Inke baghair machine poori raftaar se nahi chalti.</t>
  </si>
  <si>
    <t xml:space="preserve">Chiller, compressor, dryer, hopper loader — har ek 2 sec</t>
  </si>
  <si>
    <t xml:space="preserve">05  CHILLER · COMPRESSOR · DRYER · LOADER</t>
  </si>
  <si>
    <t xml:space="preserve">Qadam 6</t>
  </si>
  <si>
    <t xml:space="preserve">چھٹا قدم: بجٹ۔ مشین، مولڈ، سپورٹ مشینری، بجلی، شیڈ، خام مال، اور پہلے چند مہینوں کا خرچ۔ سب کو ملا کر پلان بنائیں۔</t>
  </si>
  <si>
    <t xml:space="preserve">Chhatta qadam: budget. Machine, mould, support machinery, bijli, shed, khaam maal, aur pehle chand mahinon ka kharcha. Sab ko mila kar plan banayein.</t>
  </si>
  <si>
    <t xml:space="preserve">GRAPHIC: budget breakdown card (categories, bina price ke ya DG ke ranges ke saath) + raw material bags</t>
  </si>
  <si>
    <t xml:space="preserve">GRAPHIC + ORIGINAL</t>
  </si>
  <si>
    <t xml:space="preserve">06  BUDGET PLAN</t>
  </si>
  <si>
    <t xml:space="preserve">Qadam 7</t>
  </si>
  <si>
    <t xml:space="preserve">ساتواں قدم: ٹرینڈ آپریٹر اور بھروسہ مند آفٹر سیلز سروس۔ مشین تبھی منافع دیتی ہے جب وہ رکے نہیں۔</t>
  </si>
  <si>
    <t xml:space="preserve">Saatwan qadam: trained operator aur bharosemand after-sales service. Machine tabhi munafa deti hai jab woh ruke nahi.</t>
  </si>
  <si>
    <t xml:space="preserve">DG engineer operator ko HMI par training de raha hai, service visit</t>
  </si>
  <si>
    <t xml:space="preserve">07  TRAINING &amp; SERVICE</t>
  </si>
  <si>
    <t xml:space="preserve">DG</t>
  </si>
  <si>
    <t xml:space="preserve">ڈی جی ٹیک مشینری ہر قدم پر آپ کے ساتھ: پروڈکٹ پلاننگ سے لے کر مشین، انسٹالیشن، ٹریننگ اور سروس تک۔</t>
  </si>
  <si>
    <t xml:space="preserve">DG Tech Machinery har qadam par aap ke saath: product planning se le kar machine, installation, training aur service tak.</t>
  </si>
  <si>
    <t xml:space="preserve">DG team, handshake owner ke saath, machine delivery/installation clip agar ho</t>
  </si>
  <si>
    <t xml:space="preserve">PLANNING · MACHINE · INSTALLATION · SERVICE</t>
  </si>
  <si>
    <t xml:space="preserve">Customer (optional)</t>
  </si>
  <si>
    <t xml:space="preserve">(Owner ki apni awaaz — 1 line) e.g. 'Hum ne DG ki das machines lagayi hain, service bohat achhi hai.'</t>
  </si>
  <si>
    <t xml:space="preserve">(Owner ki apni awaaz)</t>
  </si>
  <si>
    <t xml:space="preserve">Factory owner camera par, machines peeche</t>
  </si>
  <si>
    <t xml:space="preserve">[Owner name], [Factory name]</t>
  </si>
  <si>
    <t xml:space="preserve">اپنی فیکٹری کا پلان اور بجٹ جاننے کے لیے آج ہی ڈی جی ٹیک مشینری سے رابطہ کریں۔</t>
  </si>
  <si>
    <t xml:space="preserve">Apni factory ka plan aur budget jaanne ke liye aaj hi DG Tech Machinery se raabta karein.</t>
  </si>
  <si>
    <t xml:space="preserve">Outro card: logo, tagline, phones, address (pichli video wala)</t>
  </si>
  <si>
    <t xml:space="preserve">GRAPHIC</t>
  </si>
  <si>
    <t xml:space="preserve">+92 310 444 6434 | +92 42 3586 1737</t>
  </si>
  <si>
    <t xml:space="preserve">Total (s)</t>
  </si>
  <si>
    <t xml:space="preserve">Confirm karein: DG 'product planning, installation, training, service' sab deta hai? Jo nahi deta woh line se hata denge.</t>
  </si>
  <si>
    <t xml:space="preserve">Original B-Roll — aapko shoot karna hai (10 DG SOUND machines wali factory)</t>
  </si>
  <si>
    <t xml:space="preserve">Phone/camera 4K 30fps, landscape, gimbal ho to best. Har shot 10–15 sec, steady. Machines CHALTI hui hon. Factory owner se shooting + face ki ijazat le lein.</t>
  </si>
  <si>
    <t xml:space="preserve">What to shoot</t>
  </si>
  <si>
    <t xml:space="preserve">Angle / movement</t>
  </si>
  <si>
    <t xml:space="preserve">Priority</t>
  </si>
  <si>
    <t xml:space="preserve">Your file name</t>
  </si>
  <si>
    <t xml:space="preserve">1</t>
  </si>
  <si>
    <t xml:space="preserve">Factory wide — 10 machines ek line mein, upar se (drone ya seedhi/mezzanine se)</t>
  </si>
  <si>
    <t xml:space="preserve">High angle, slow push</t>
  </si>
  <si>
    <t xml:space="preserve">MUST</t>
  </si>
  <si>
    <t xml:space="preserve">2</t>
  </si>
  <si>
    <t xml:space="preserve">Walk-through machines ki line ke saath</t>
  </si>
  <si>
    <t xml:space="preserve">Gimbal, chalte hue, kandhe ki height</t>
  </si>
  <si>
    <t xml:space="preserve">Har machine par DG / SOUND logo close-up (3–4 machines)</t>
  </si>
  <si>
    <t xml:space="preserve">Close, slow slide</t>
  </si>
  <si>
    <t xml:space="preserve">4</t>
  </si>
  <si>
    <t xml:space="preserve">Machine nameplate / tonnage plate close-up</t>
  </si>
  <si>
    <t xml:space="preserve">Macro, static</t>
  </si>
  <si>
    <t xml:space="preserve">HMI / control screen chalti hui (cycle time dikhe)</t>
  </si>
  <si>
    <t xml:space="preserve">Close, static</t>
  </si>
  <si>
    <t xml:space="preserve">Injection unit / screw / hopper close</t>
  </si>
  <si>
    <t xml:space="preserve">Close, slow pan</t>
  </si>
  <si>
    <t xml:space="preserve">Nice</t>
  </si>
  <si>
    <t xml:space="preserve">5</t>
  </si>
  <si>
    <t xml:space="preserve">Mould khulna aur parts girna</t>
  </si>
  <si>
    <t xml:space="preserve">Tripod, side angle, 2–3 cycles</t>
  </si>
  <si>
    <t xml:space="preserve">Crane / hoist se mould change (agar ho)</t>
  </si>
  <si>
    <t xml:space="preserve">Wide</t>
  </si>
  <si>
    <t xml:space="preserve">3</t>
  </si>
  <si>
    <t xml:space="preserve">Bane hue products — crates, conveyor, table par saaf rakhe hue</t>
  </si>
  <si>
    <t xml:space="preserve">Top-down + 45°</t>
  </si>
  <si>
    <t xml:space="preserve">6</t>
  </si>
  <si>
    <t xml:space="preserve">Shed bahar se + factory signboard</t>
  </si>
  <si>
    <t xml:space="preserve">Wide, slow pan</t>
  </si>
  <si>
    <t xml:space="preserve">Electrical panel / main breaker / transformer</t>
  </si>
  <si>
    <t xml:space="preserve">Medium, static</t>
  </si>
  <si>
    <t xml:space="preserve">7</t>
  </si>
  <si>
    <t xml:space="preserve">Chiller</t>
  </si>
  <si>
    <t xml:space="preserve">Medium</t>
  </si>
  <si>
    <t xml:space="preserve">Air compressor</t>
  </si>
  <si>
    <t xml:space="preserve">Dryer + hopper loader (raw material machine mein jaata hua)</t>
  </si>
  <si>
    <t xml:space="preserve">Close</t>
  </si>
  <si>
    <t xml:space="preserve">8</t>
  </si>
  <si>
    <t xml:space="preserve">Raw material bags / godown</t>
  </si>
  <si>
    <t xml:space="preserve">Slow push</t>
  </si>
  <si>
    <t xml:space="preserve">9</t>
  </si>
  <si>
    <t xml:space="preserve">DG engineer operator ko HMI par training deta hua</t>
  </si>
  <si>
    <t xml:space="preserve">Over-shoulder + close haath</t>
  </si>
  <si>
    <t xml:space="preserve">Service visit — engineer toolbox ke saath machine par kaam</t>
  </si>
  <si>
    <t xml:space="preserve">10</t>
  </si>
  <si>
    <t xml:space="preserve">DG team + factory owner handshake, machines peeche</t>
  </si>
  <si>
    <t xml:space="preserve">Machine delivery / installation clip (purani bhi chalegi)</t>
  </si>
  <si>
    <t xml:space="preserve">Any</t>
  </si>
  <si>
    <t xml:space="preserve">11</t>
  </si>
  <si>
    <t xml:space="preserve">Owner interview: 1–2 lines camera par (mic lagayein, shor kam ho)</t>
  </si>
  <si>
    <t xml:space="preserve">Medium, tripod, eye level</t>
  </si>
  <si>
    <t xml:space="preserve">All</t>
  </si>
  <si>
    <t xml:space="preserve">Workers operating / QC / packing (general cutaways)</t>
  </si>
  <si>
    <t xml:space="preserve">Mix</t>
  </si>
  <si>
    <t xml:space="preserve">MUST shots</t>
  </si>
  <si>
    <t xml:space="preserve">Received / Approved</t>
  </si>
  <si>
    <t xml:space="preserve">SHOOTING TIPS</t>
  </si>
  <si>
    <t xml:space="preserve">• Shoot se pehle floor saaf karwa lein, bags/kachra hata dein.</t>
  </si>
  <si>
    <t xml:space="preserve">• Factory ki lights sab ON, din ka waqt best.</t>
  </si>
  <si>
    <t xml:space="preserve">• Phone landscape, 4K 30fps, lens saaf.</t>
  </si>
  <si>
    <t xml:space="preserve">• Har shot ke shuru aur aakhir mein 2 sec hilayein nahi (edit ke liye).</t>
  </si>
  <si>
    <t xml:space="preserve">• Bhejne ka tareeqa: Google Drive / WhatsApp 'document' (taake quality kam na ho).</t>
  </si>
  <si>
    <t xml:space="preserve">Jo main AI / graphics se banaunga</t>
  </si>
  <si>
    <t xml:space="preserve">AI = Higgsfield credits. GRAPHIC = free (sandbox). Kam se kam AI rakha hai.</t>
  </si>
  <si>
    <t xml:space="preserve">Type</t>
  </si>
  <si>
    <t xml:space="preserve">Shot</t>
  </si>
  <si>
    <t xml:space="preserve">Prompt</t>
  </si>
  <si>
    <t xml:space="preserve">Tool</t>
  </si>
  <si>
    <t xml:space="preserve">Est. credits</t>
  </si>
  <si>
    <t xml:space="preserve">AI</t>
  </si>
  <si>
    <t xml:space="preserve">Khaali industrial shed, din ki roshni (before)</t>
  </si>
  <si>
    <t xml:space="preserve">Empty large industrial shed interior, bare concrete floor, steel roof trusses, daylight through skylights, photoreal, 16:9, no text</t>
  </si>
  <si>
    <t xml:space="preserve">Kling 3.0 Pro 5s</t>
  </si>
  <si>
    <t xml:space="preserve">Same shed mein machines lagti hui / ready factory (after)</t>
  </si>
  <si>
    <t xml:space="preserve">Same industrial shed now filled with a neat row of ten white-and-blue injection moulding machines, clean epoxy floor, photoreal, 16:9, no text, no logos</t>
  </si>
  <si>
    <t xml:space="preserve">1/3</t>
  </si>
  <si>
    <t xml:space="preserve">Engineer factory layout plan dekh raha hai (planning concept)</t>
  </si>
  <si>
    <t xml:space="preserve">Engineer reviewing a factory floor layout drawing on a tablet inside a plastic factory, machines blurred in background, photoreal, 16:9</t>
  </si>
  <si>
    <t xml:space="preserve">Raw material granules (budget/material concept)</t>
  </si>
  <si>
    <t xml:space="preserve">Macro of plastic granules pouring from a bag into a hopper, cinematic, photoreal, 16:9</t>
  </si>
  <si>
    <t xml:space="preserve">Urdu voiceover (12 lines, same 'Grady' voice)</t>
  </si>
  <si>
    <t xml:space="preserve">—</t>
  </si>
  <si>
    <t xml:space="preserve">ElevenLabs v4</t>
  </si>
  <si>
    <t xml:space="preserve">Images for the 4 clips</t>
  </si>
  <si>
    <t xml:space="preserve">GPT Image 2.5</t>
  </si>
  <si>
    <t xml:space="preserve">3–9</t>
  </si>
  <si>
    <t xml:space="preserve">7 step cards (01…07) DG style</t>
  </si>
  <si>
    <t xml:space="preserve">Free</t>
  </si>
  <si>
    <t xml:space="preserve">Top-view 10-machine floor layout animation</t>
  </si>
  <si>
    <t xml:space="preserve">Budget breakdown card</t>
  </si>
  <si>
    <t xml:space="preserve">12</t>
  </si>
  <si>
    <t xml:space="preserve">Outro card (pichli video wala)</t>
  </si>
  <si>
    <t xml:space="preserve">Captions, logo, whoosh/tick SFX, music ducking</t>
  </si>
  <si>
    <t xml:space="preserve">Total ≈</t>
  </si>
  <si>
    <t xml:space="preserve">Balance now</t>
  </si>
  <si>
    <t xml:space="preserve">Left after</t>
  </si>
  <si>
    <t xml:space="preserve">Factory lagane se pehle — checklist</t>
  </si>
  <si>
    <t xml:space="preserve">Video ka content bhi yahi hai. Customer ko PDF/WhatsApp par bhi bheja ja sakta hai.</t>
  </si>
  <si>
    <t xml:space="preserve">Step</t>
  </si>
  <si>
    <t xml:space="preserve">Kya sochna / poochna hai</t>
  </si>
  <si>
    <t xml:space="preserve">1. Product &amp; Market</t>
  </si>
  <si>
    <t xml:space="preserve">Kaun sa product? Kis ko bechna hai? Monthly demand kitni? Competitor kaun?</t>
  </si>
  <si>
    <t xml:space="preserve">2. Machine selection</t>
  </si>
  <si>
    <t xml:space="preserve">Product ka wazan (g) aur size → shot size aur clamping tonnage. Kitni machines? Servo / energy saving?</t>
  </si>
  <si>
    <t xml:space="preserve">3. Mould</t>
  </si>
  <si>
    <t xml:space="preserve">Cavities kitni? Steel quality? Cycle time? Mould maker kaun? Delivery time?</t>
  </si>
  <si>
    <t xml:space="preserve">4. Jagah (shed)</t>
  </si>
  <si>
    <t xml:space="preserve">Machines + aisle + raw material + finished goods store ke liye jagah. Crane/hoist ki height.</t>
  </si>
  <si>
    <t xml:space="preserve">5. Bijli</t>
  </si>
  <si>
    <t xml:space="preserve">Three-phase connection, total load (kW), transformer ki zaroorat, backup.</t>
  </si>
  <si>
    <t xml:space="preserve">6. Support machinery</t>
  </si>
  <si>
    <t xml:space="preserve">Chiller, air compressor, dryer, hopper loader, mould temperature controller, crusher/grinder.</t>
  </si>
  <si>
    <t xml:space="preserve">7. Raw material</t>
  </si>
  <si>
    <t xml:space="preserve">Material grade (PP, PE, ABS, PVC…), supplier, pehla stock.</t>
  </si>
  <si>
    <t xml:space="preserve">8. Team</t>
  </si>
  <si>
    <t xml:space="preserve">Operators, mould setter, maintenance, QC — training kaun dega?</t>
  </si>
  <si>
    <t xml:space="preserve">9. Paperwork</t>
  </si>
  <si>
    <t xml:space="preserve">Business registration, bijli connection approval. Medical products ke liye DRAP medical device licensing — kisi consultant se confirm karein.</t>
  </si>
  <si>
    <t xml:space="preserve">10. Budget &amp; cash flow</t>
  </si>
  <si>
    <t xml:space="preserve">Upar sab ka kharcha + 3–6 mahine ka working capital (salary, bijli, material).</t>
  </si>
  <si>
    <t xml:space="preserve">11. After-sales</t>
  </si>
  <si>
    <t xml:space="preserve">Spare parts, service response time, warranty — machine supplier se likhwa lein.</t>
  </si>
  <si>
    <t xml:space="preserve">Factory Budget Estimator (PKR)</t>
  </si>
  <si>
    <t xml:space="preserve">Yellow cells DG bhare (price/rate). Formulas khud total karte hain. Abhi koi price nahi daali — asli rates DG ke paas hain.</t>
  </si>
  <si>
    <t xml:space="preserve">Item</t>
  </si>
  <si>
    <t xml:space="preserve">Qty</t>
  </si>
  <si>
    <t xml:space="preserve">Unit price (PKR)</t>
  </si>
  <si>
    <t xml:space="preserve">Total (PKR)</t>
  </si>
  <si>
    <t xml:space="preserve">Note</t>
  </si>
  <si>
    <t xml:space="preserve">DG SOUND injection molding machine</t>
  </si>
  <si>
    <t xml:space="preserve">Model/ton ke hisaab se</t>
  </si>
  <si>
    <t xml:space="preserve">Moulds</t>
  </si>
  <si>
    <t xml:space="preserve">Cavities/steel ke hisaab se</t>
  </si>
  <si>
    <t xml:space="preserve">Dryer</t>
  </si>
  <si>
    <t xml:space="preserve">Hopper loader</t>
  </si>
  <si>
    <t xml:space="preserve">Mould temperature controller</t>
  </si>
  <si>
    <t xml:space="preserve">Crusher / grinder</t>
  </si>
  <si>
    <t xml:space="preserve">Crane / hoist</t>
  </si>
  <si>
    <t xml:space="preserve">Electrical (transformer, cabling, panels)</t>
  </si>
  <si>
    <t xml:space="preserve">Load ke hisaab se</t>
  </si>
  <si>
    <t xml:space="preserve">Shed / civil work</t>
  </si>
  <si>
    <t xml:space="preserve">Kiraya ho to advance likhein</t>
  </si>
  <si>
    <t xml:space="preserve">Raw material — first stock (kg)</t>
  </si>
  <si>
    <t xml:space="preserve">Rate per kg</t>
  </si>
  <si>
    <t xml:space="preserve">Installation &amp; commissioning</t>
  </si>
  <si>
    <t xml:space="preserve">Capital subtotal</t>
  </si>
  <si>
    <t xml:space="preserve">Monthly running cost (salary + bijli + misc)</t>
  </si>
  <si>
    <t xml:space="preserve">Working capital months</t>
  </si>
  <si>
    <t xml:space="preserve">Working capital</t>
  </si>
  <si>
    <t xml:space="preserve">Contingency %</t>
  </si>
  <si>
    <t xml:space="preserve">TOTAL ESTIMATED INVESTMENT</t>
  </si>
  <si>
    <t xml:space="preserve">POWER LOAD</t>
  </si>
  <si>
    <t xml:space="preserve">Avg kW per machine (from machine spec)</t>
  </si>
  <si>
    <t xml:space="preserve">Machines</t>
  </si>
  <si>
    <t xml:space="preserve">Aux equipment kW (chillers, compressor, dryers)</t>
  </si>
  <si>
    <t xml:space="preserve">Total connected load (kW)</t>
  </si>
  <si>
    <t xml:space="preserve">Mujhe aap se kya chahiye</t>
  </si>
  <si>
    <t xml:space="preserve">Yeh mil jaye to video bana dunga.</t>
  </si>
  <si>
    <t xml:space="preserve">Detail</t>
  </si>
  <si>
    <t xml:space="preserve">Original B-rolls</t>
  </si>
  <si>
    <t xml:space="preserve">Tab 'Original_BRoll' — kam se kam saare MUST shots</t>
  </si>
  <si>
    <t xml:space="preserve">Factory ki ijazat</t>
  </si>
  <si>
    <t xml:space="preserve">Customer factory ke owner se shooting + naam dikhane ki permission</t>
  </si>
  <si>
    <t xml:space="preserve">Factory details</t>
  </si>
  <si>
    <t xml:space="preserve">Factory/owner ka naam, shehar, kya products bante hain</t>
  </si>
  <si>
    <t xml:space="preserve">Machine details</t>
  </si>
  <si>
    <t xml:space="preserve">Factory mein lagi 10 machines ke model + tonnage (e.g. 4×___T, 6×___T)</t>
  </si>
  <si>
    <t xml:space="preserve">DG services confirm</t>
  </si>
  <si>
    <t xml:space="preserve">Planning, installation, training, after-sales — kaun si dete hain</t>
  </si>
  <si>
    <t xml:space="preserve">Budget numbers (optional)</t>
  </si>
  <si>
    <t xml:space="preserve">Agar video mein price range dikhani hai to approx ranges (warna sirf categories dikhayenge)</t>
  </si>
  <si>
    <t xml:space="preserve">Optional</t>
  </si>
  <si>
    <t xml:space="preserve">Owner ki 1 line</t>
  </si>
  <si>
    <t xml:space="preserve">Phone par record bhi chalegi (mic ke saath)</t>
  </si>
  <si>
    <t xml:space="preserve">Music</t>
  </si>
  <si>
    <t xml:space="preserve">Pichli wali track ki license is video par bhi chalti hai? Ya nayi track</t>
  </si>
  <si>
    <t xml:space="preserve">Logo / contacts</t>
  </si>
  <si>
    <t xml:space="preserve">Pehle se hain (pichli video wale) — kuch badalna ho to batayein</t>
  </si>
  <si>
    <t xml:space="preserve">Done</t>
  </si>
</sst>
</file>

<file path=xl/styles.xml><?xml version="1.0" encoding="utf-8"?>
<styleSheet xmlns="http://schemas.openxmlformats.org/spreadsheetml/2006/main">
  <numFmts count="4">
    <numFmt numFmtId="164" formatCode="General"/>
    <numFmt numFmtId="165" formatCode="#,##0"/>
    <numFmt numFmtId="166" formatCode="#,##0;\(#,##0\);\-"/>
    <numFmt numFmtId="167" formatCode="0%"/>
  </numFmts>
  <fonts count="16">
    <font>
      <sz val="11"/>
      <color theme="1"/>
      <name val="Calibri"/>
      <family val="2"/>
      <charset val="1"/>
    </font>
    <font>
      <sz val="10"/>
      <name val="Arial"/>
      <family val="0"/>
    </font>
    <font>
      <sz val="10"/>
      <name val="Arial"/>
      <family val="0"/>
    </font>
    <font>
      <sz val="10"/>
      <name val="Arial"/>
      <family val="0"/>
    </font>
    <font>
      <b val="true"/>
      <sz val="16"/>
      <color rgb="FF0B2A5B"/>
      <name val="Arial"/>
      <family val="0"/>
      <charset val="1"/>
    </font>
    <font>
      <i val="true"/>
      <sz val="10"/>
      <color rgb="FF555555"/>
      <name val="Arial"/>
      <family val="0"/>
      <charset val="1"/>
    </font>
    <font>
      <b val="true"/>
      <sz val="12"/>
      <color rgb="FF0B2A5B"/>
      <name val="Arial"/>
      <family val="0"/>
      <charset val="1"/>
    </font>
    <font>
      <sz val="10"/>
      <name val="Arial"/>
      <family val="0"/>
      <charset val="1"/>
    </font>
    <font>
      <b val="true"/>
      <sz val="10"/>
      <color rgb="FF000000"/>
      <name val="Arial"/>
      <family val="0"/>
      <charset val="1"/>
    </font>
    <font>
      <b val="true"/>
      <sz val="11"/>
      <color rgb="FFFFFFFF"/>
      <name val="Arial"/>
      <family val="0"/>
      <charset val="1"/>
    </font>
    <font>
      <b val="true"/>
      <sz val="11"/>
      <name val="Arial"/>
      <family val="0"/>
      <charset val="1"/>
    </font>
    <font>
      <i val="true"/>
      <sz val="10"/>
      <color rgb="FFC00000"/>
      <name val="Arial"/>
      <family val="0"/>
      <charset val="1"/>
    </font>
    <font>
      <b val="true"/>
      <sz val="10"/>
      <name val="Arial"/>
      <family val="0"/>
      <charset val="1"/>
    </font>
    <font>
      <sz val="11"/>
      <color rgb="FF0000FF"/>
      <name val="Arial"/>
      <family val="0"/>
      <charset val="1"/>
    </font>
    <font>
      <sz val="10"/>
      <name val="Arial"/>
      <family val="2"/>
    </font>
    <font>
      <b val="true"/>
      <sz val="11"/>
      <color rgb="FF0B2A5B"/>
      <name val="Arial"/>
      <family val="0"/>
      <charset val="1"/>
    </font>
  </fonts>
  <fills count="4">
    <fill>
      <patternFill patternType="none"/>
    </fill>
    <fill>
      <patternFill patternType="gray125"/>
    </fill>
    <fill>
      <patternFill patternType="solid">
        <fgColor rgb="FF0B2A5B"/>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C7D5"/>
      </left>
      <right style="thin">
        <color rgb="FFBFC7D5"/>
      </right>
      <top style="thin">
        <color rgb="FFBFC7D5"/>
      </top>
      <bottom style="thin">
        <color rgb="FFBFC7D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right"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5" fontId="7" fillId="3"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7" fontId="13" fillId="3"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C7D5"/>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B2A5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23.85" hidden="false" customHeight="false" outlineLevel="0" collapsed="false">
      <c r="A5" s="5" t="s">
        <v>3</v>
      </c>
      <c r="B5" s="4" t="s">
        <v>4</v>
      </c>
    </row>
    <row r="6" customFormat="false" ht="23.85" hidden="false" customHeight="false" outlineLevel="0" collapsed="false">
      <c r="A6" s="5" t="s">
        <v>5</v>
      </c>
      <c r="B6" s="4" t="s">
        <v>6</v>
      </c>
    </row>
    <row r="7" customFormat="false" ht="23.85" hidden="false" customHeight="false" outlineLevel="0" collapsed="false">
      <c r="A7" s="5" t="s">
        <v>7</v>
      </c>
      <c r="B7" s="4" t="s">
        <v>8</v>
      </c>
    </row>
    <row r="8" customFormat="false" ht="15" hidden="false" customHeight="false" outlineLevel="0" collapsed="false">
      <c r="A8" s="5" t="s">
        <v>9</v>
      </c>
      <c r="B8" s="4" t="s">
        <v>10</v>
      </c>
    </row>
    <row r="9" customFormat="false" ht="15" hidden="false" customHeight="false" outlineLevel="0" collapsed="false">
      <c r="A9" s="5" t="s">
        <v>11</v>
      </c>
      <c r="B9" s="4" t="s">
        <v>12</v>
      </c>
    </row>
    <row r="10" customFormat="false" ht="15" hidden="false" customHeight="false" outlineLevel="0" collapsed="false">
      <c r="A10" s="3"/>
      <c r="B10" s="4"/>
    </row>
    <row r="11" customFormat="false" ht="15" hidden="false" customHeight="false" outlineLevel="0" collapsed="false">
      <c r="A11" s="3" t="s">
        <v>13</v>
      </c>
      <c r="B11" s="4"/>
    </row>
    <row r="12" customFormat="false" ht="23.85" hidden="false" customHeight="false" outlineLevel="0" collapsed="false">
      <c r="A12" s="5" t="s">
        <v>14</v>
      </c>
      <c r="B12" s="4" t="s">
        <v>15</v>
      </c>
    </row>
    <row r="13" customFormat="false" ht="15" hidden="false" customHeight="false" outlineLevel="0" collapsed="false">
      <c r="A13" s="5" t="s">
        <v>16</v>
      </c>
      <c r="B13" s="4" t="s">
        <v>17</v>
      </c>
    </row>
    <row r="14" customFormat="false" ht="15" hidden="false" customHeight="false" outlineLevel="0" collapsed="false">
      <c r="A14" s="3"/>
      <c r="B14" s="4"/>
    </row>
    <row r="15" customFormat="false" ht="15" hidden="false" customHeight="false" outlineLevel="0" collapsed="false">
      <c r="A15" s="5" t="s">
        <v>18</v>
      </c>
      <c r="B15" s="4" t="s">
        <v>19</v>
      </c>
    </row>
    <row r="16" customFormat="false" ht="15" hidden="false" customHeight="false" outlineLevel="0" collapsed="false">
      <c r="A16" s="5" t="s">
        <v>20</v>
      </c>
      <c r="B16" s="4"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5" min="3" style="0" width="8"/>
    <col collapsed="false" customWidth="true" hidden="false" outlineLevel="0" max="6" min="6" style="0" width="52"/>
    <col collapsed="false" customWidth="true" hidden="false" outlineLevel="0" max="7" min="7" style="0" width="48"/>
    <col collapsed="false" customWidth="true" hidden="false" outlineLevel="0" max="8" min="8" style="0" width="44"/>
    <col collapsed="false" customWidth="true" hidden="false" outlineLevel="0" max="9" min="9" style="0" width="18"/>
    <col collapsed="false" customWidth="true" hidden="false" outlineLevel="0" max="10" min="10" style="0" width="30"/>
    <col collapsed="false" customWidth="true" hidden="false" outlineLevel="0" max="11" min="11" style="0" width="11"/>
  </cols>
  <sheetData>
    <row r="1" customFormat="false" ht="19.7" hidden="false" customHeight="false" outlineLevel="0" collapsed="false">
      <c r="A1" s="1" t="s">
        <v>22</v>
      </c>
    </row>
    <row r="2" customFormat="false" ht="15" hidden="false" customHeight="false" outlineLevel="0" collapsed="false">
      <c r="A2" s="2" t="s">
        <v>23</v>
      </c>
    </row>
    <row r="4" customFormat="false" ht="26.85" hidden="false" customHeight="false" outlineLevel="0" collapsed="false">
      <c r="A4" s="6" t="s">
        <v>24</v>
      </c>
      <c r="B4" s="6" t="s">
        <v>25</v>
      </c>
      <c r="C4" s="6" t="s">
        <v>26</v>
      </c>
      <c r="D4" s="6" t="s">
        <v>27</v>
      </c>
      <c r="E4" s="6" t="s">
        <v>28</v>
      </c>
      <c r="F4" s="6" t="s">
        <v>29</v>
      </c>
      <c r="G4" s="6" t="s">
        <v>30</v>
      </c>
      <c r="H4" s="6" t="s">
        <v>31</v>
      </c>
      <c r="I4" s="6" t="s">
        <v>32</v>
      </c>
      <c r="J4" s="6" t="s">
        <v>33</v>
      </c>
      <c r="K4" s="6" t="s">
        <v>34</v>
      </c>
    </row>
    <row r="5" customFormat="false" ht="23.85" hidden="false" customHeight="false" outlineLevel="0" collapsed="false">
      <c r="A5" s="7" t="n">
        <v>1</v>
      </c>
      <c r="B5" s="7" t="s">
        <v>35</v>
      </c>
      <c r="C5" s="7" t="n">
        <v>0</v>
      </c>
      <c r="D5" s="7" t="n">
        <v>6</v>
      </c>
      <c r="E5" s="7" t="n">
        <f aca="false">D5-C5</f>
        <v>6</v>
      </c>
      <c r="F5" s="8" t="s">
        <v>36</v>
      </c>
      <c r="G5" s="7" t="s">
        <v>37</v>
      </c>
      <c r="H5" s="7" t="s">
        <v>38</v>
      </c>
      <c r="I5" s="7" t="s">
        <v>39</v>
      </c>
      <c r="J5" s="7" t="s">
        <v>40</v>
      </c>
      <c r="K5" s="7" t="s">
        <v>41</v>
      </c>
    </row>
    <row r="6" customFormat="false" ht="35.05" hidden="false" customHeight="false" outlineLevel="0" collapsed="false">
      <c r="A6" s="7" t="n">
        <v>2</v>
      </c>
      <c r="B6" s="7" t="s">
        <v>42</v>
      </c>
      <c r="C6" s="7" t="n">
        <v>6</v>
      </c>
      <c r="D6" s="7" t="n">
        <v>13</v>
      </c>
      <c r="E6" s="7" t="n">
        <f aca="false">D6-C6</f>
        <v>7</v>
      </c>
      <c r="F6" s="8" t="s">
        <v>43</v>
      </c>
      <c r="G6" s="7" t="s">
        <v>44</v>
      </c>
      <c r="H6" s="7" t="s">
        <v>45</v>
      </c>
      <c r="I6" s="7" t="s">
        <v>39</v>
      </c>
      <c r="J6" s="7" t="s">
        <v>46</v>
      </c>
      <c r="K6" s="7" t="s">
        <v>41</v>
      </c>
    </row>
    <row r="7" customFormat="false" ht="23.85" hidden="false" customHeight="false" outlineLevel="0" collapsed="false">
      <c r="A7" s="7" t="n">
        <v>3</v>
      </c>
      <c r="B7" s="7" t="s">
        <v>47</v>
      </c>
      <c r="C7" s="7" t="n">
        <v>13</v>
      </c>
      <c r="D7" s="7" t="n">
        <v>22</v>
      </c>
      <c r="E7" s="7" t="n">
        <f aca="false">D7-C7</f>
        <v>9</v>
      </c>
      <c r="F7" s="8" t="s">
        <v>48</v>
      </c>
      <c r="G7" s="7" t="s">
        <v>49</v>
      </c>
      <c r="H7" s="7" t="s">
        <v>50</v>
      </c>
      <c r="I7" s="7" t="s">
        <v>51</v>
      </c>
      <c r="J7" s="7" t="s">
        <v>52</v>
      </c>
      <c r="K7" s="7" t="s">
        <v>41</v>
      </c>
    </row>
    <row r="8" customFormat="false" ht="46.25" hidden="false" customHeight="false" outlineLevel="0" collapsed="false">
      <c r="A8" s="7" t="n">
        <v>4</v>
      </c>
      <c r="B8" s="7" t="s">
        <v>53</v>
      </c>
      <c r="C8" s="7" t="n">
        <v>22</v>
      </c>
      <c r="D8" s="7" t="n">
        <v>33</v>
      </c>
      <c r="E8" s="7" t="n">
        <f aca="false">D8-C8</f>
        <v>11</v>
      </c>
      <c r="F8" s="8" t="s">
        <v>54</v>
      </c>
      <c r="G8" s="7" t="s">
        <v>55</v>
      </c>
      <c r="H8" s="7" t="s">
        <v>56</v>
      </c>
      <c r="I8" s="7" t="s">
        <v>51</v>
      </c>
      <c r="J8" s="7" t="s">
        <v>57</v>
      </c>
      <c r="K8" s="7" t="s">
        <v>41</v>
      </c>
    </row>
    <row r="9" customFormat="false" ht="23.85" hidden="false" customHeight="false" outlineLevel="0" collapsed="false">
      <c r="A9" s="7" t="n">
        <v>5</v>
      </c>
      <c r="B9" s="7" t="s">
        <v>58</v>
      </c>
      <c r="C9" s="7" t="n">
        <v>33</v>
      </c>
      <c r="D9" s="7" t="n">
        <v>41</v>
      </c>
      <c r="E9" s="7" t="n">
        <f aca="false">D9-C9</f>
        <v>8</v>
      </c>
      <c r="F9" s="8" t="s">
        <v>59</v>
      </c>
      <c r="G9" s="7" t="s">
        <v>60</v>
      </c>
      <c r="H9" s="7" t="s">
        <v>61</v>
      </c>
      <c r="I9" s="7" t="s">
        <v>39</v>
      </c>
      <c r="J9" s="7" t="s">
        <v>62</v>
      </c>
      <c r="K9" s="7" t="s">
        <v>41</v>
      </c>
    </row>
    <row r="10" customFormat="false" ht="35.05" hidden="false" customHeight="false" outlineLevel="0" collapsed="false">
      <c r="A10" s="7" t="n">
        <v>6</v>
      </c>
      <c r="B10" s="7" t="s">
        <v>63</v>
      </c>
      <c r="C10" s="7" t="n">
        <v>41</v>
      </c>
      <c r="D10" s="7" t="n">
        <v>52</v>
      </c>
      <c r="E10" s="7" t="n">
        <f aca="false">D10-C10</f>
        <v>11</v>
      </c>
      <c r="F10" s="8" t="s">
        <v>64</v>
      </c>
      <c r="G10" s="7" t="s">
        <v>65</v>
      </c>
      <c r="H10" s="7" t="s">
        <v>66</v>
      </c>
      <c r="I10" s="7" t="s">
        <v>67</v>
      </c>
      <c r="J10" s="7" t="s">
        <v>68</v>
      </c>
      <c r="K10" s="7" t="s">
        <v>41</v>
      </c>
    </row>
    <row r="11" customFormat="false" ht="35.05" hidden="false" customHeight="false" outlineLevel="0" collapsed="false">
      <c r="A11" s="7" t="n">
        <v>7</v>
      </c>
      <c r="B11" s="7" t="s">
        <v>69</v>
      </c>
      <c r="C11" s="7" t="n">
        <v>52</v>
      </c>
      <c r="D11" s="7" t="n">
        <v>61</v>
      </c>
      <c r="E11" s="7" t="n">
        <f aca="false">D11-C11</f>
        <v>9</v>
      </c>
      <c r="F11" s="8" t="s">
        <v>70</v>
      </c>
      <c r="G11" s="7" t="s">
        <v>71</v>
      </c>
      <c r="H11" s="7" t="s">
        <v>72</v>
      </c>
      <c r="I11" s="7" t="s">
        <v>39</v>
      </c>
      <c r="J11" s="7" t="s">
        <v>73</v>
      </c>
      <c r="K11" s="7" t="s">
        <v>41</v>
      </c>
    </row>
    <row r="12" customFormat="false" ht="35.05" hidden="false" customHeight="false" outlineLevel="0" collapsed="false">
      <c r="A12" s="7" t="n">
        <v>8</v>
      </c>
      <c r="B12" s="7" t="s">
        <v>74</v>
      </c>
      <c r="C12" s="7" t="n">
        <v>61</v>
      </c>
      <c r="D12" s="7" t="n">
        <v>73</v>
      </c>
      <c r="E12" s="7" t="n">
        <f aca="false">D12-C12</f>
        <v>12</v>
      </c>
      <c r="F12" s="8" t="s">
        <v>75</v>
      </c>
      <c r="G12" s="7" t="s">
        <v>76</v>
      </c>
      <c r="H12" s="7" t="s">
        <v>77</v>
      </c>
      <c r="I12" s="7" t="s">
        <v>78</v>
      </c>
      <c r="J12" s="7" t="s">
        <v>79</v>
      </c>
      <c r="K12" s="7" t="s">
        <v>41</v>
      </c>
    </row>
    <row r="13" customFormat="false" ht="35.05" hidden="false" customHeight="false" outlineLevel="0" collapsed="false">
      <c r="A13" s="7" t="n">
        <v>9</v>
      </c>
      <c r="B13" s="7" t="s">
        <v>80</v>
      </c>
      <c r="C13" s="7" t="n">
        <v>73</v>
      </c>
      <c r="D13" s="7" t="n">
        <v>82</v>
      </c>
      <c r="E13" s="7" t="n">
        <f aca="false">D13-C13</f>
        <v>9</v>
      </c>
      <c r="F13" s="8" t="s">
        <v>81</v>
      </c>
      <c r="G13" s="7" t="s">
        <v>82</v>
      </c>
      <c r="H13" s="7" t="s">
        <v>83</v>
      </c>
      <c r="I13" s="7" t="s">
        <v>39</v>
      </c>
      <c r="J13" s="7" t="s">
        <v>84</v>
      </c>
      <c r="K13" s="7" t="s">
        <v>41</v>
      </c>
    </row>
    <row r="14" customFormat="false" ht="35.05" hidden="false" customHeight="false" outlineLevel="0" collapsed="false">
      <c r="A14" s="7" t="n">
        <v>10</v>
      </c>
      <c r="B14" s="7" t="s">
        <v>85</v>
      </c>
      <c r="C14" s="7" t="n">
        <v>82</v>
      </c>
      <c r="D14" s="7" t="n">
        <v>91</v>
      </c>
      <c r="E14" s="7" t="n">
        <f aca="false">D14-C14</f>
        <v>9</v>
      </c>
      <c r="F14" s="8" t="s">
        <v>86</v>
      </c>
      <c r="G14" s="7" t="s">
        <v>87</v>
      </c>
      <c r="H14" s="7" t="s">
        <v>88</v>
      </c>
      <c r="I14" s="7" t="s">
        <v>39</v>
      </c>
      <c r="J14" s="7" t="s">
        <v>89</v>
      </c>
      <c r="K14" s="7" t="s">
        <v>41</v>
      </c>
    </row>
    <row r="15" customFormat="false" ht="23.85" hidden="false" customHeight="false" outlineLevel="0" collapsed="false">
      <c r="A15" s="7" t="n">
        <v>11</v>
      </c>
      <c r="B15" s="7" t="s">
        <v>90</v>
      </c>
      <c r="C15" s="7" t="n">
        <v>91</v>
      </c>
      <c r="D15" s="7" t="n">
        <v>96</v>
      </c>
      <c r="E15" s="7" t="n">
        <f aca="false">D15-C15</f>
        <v>5</v>
      </c>
      <c r="F15" s="8" t="s">
        <v>91</v>
      </c>
      <c r="G15" s="7" t="s">
        <v>92</v>
      </c>
      <c r="H15" s="7" t="s">
        <v>93</v>
      </c>
      <c r="I15" s="7" t="s">
        <v>39</v>
      </c>
      <c r="J15" s="7" t="s">
        <v>94</v>
      </c>
      <c r="K15" s="7" t="s">
        <v>41</v>
      </c>
    </row>
    <row r="16" customFormat="false" ht="23.85" hidden="false" customHeight="false" outlineLevel="0" collapsed="false">
      <c r="A16" s="7" t="n">
        <v>12</v>
      </c>
      <c r="B16" s="7" t="s">
        <v>11</v>
      </c>
      <c r="C16" s="7" t="n">
        <v>96</v>
      </c>
      <c r="D16" s="7" t="n">
        <v>104</v>
      </c>
      <c r="E16" s="7" t="n">
        <f aca="false">D16-C16</f>
        <v>8</v>
      </c>
      <c r="F16" s="8" t="s">
        <v>95</v>
      </c>
      <c r="G16" s="7" t="s">
        <v>96</v>
      </c>
      <c r="H16" s="7" t="s">
        <v>97</v>
      </c>
      <c r="I16" s="7" t="s">
        <v>98</v>
      </c>
      <c r="J16" s="7" t="s">
        <v>99</v>
      </c>
      <c r="K16" s="7" t="s">
        <v>41</v>
      </c>
    </row>
    <row r="18" customFormat="false" ht="15" hidden="false" customHeight="false" outlineLevel="0" collapsed="false">
      <c r="D18" s="9" t="s">
        <v>100</v>
      </c>
      <c r="E18" s="9" t="n">
        <f aca="false">SUM(E5:E16)</f>
        <v>104</v>
      </c>
    </row>
    <row r="19" customFormat="false" ht="15" hidden="false" customHeight="false" outlineLevel="0" collapsed="false">
      <c r="F19" s="10" t="s">
        <v>101</v>
      </c>
    </row>
  </sheetData>
  <dataValidations count="1">
    <dataValidation allowBlank="true" errorStyle="stop" operator="between" showDropDown="false" showErrorMessage="false" showInputMessage="false" sqref="K5:K16" type="list">
      <formula1>"To Do,Shot,Received,Approved"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2"/>
    <col collapsed="false" customWidth="true" hidden="false" outlineLevel="0" max="3" min="3" style="0" width="30"/>
    <col collapsed="false" customWidth="true" hidden="false" outlineLevel="0" max="4" min="4" style="0" width="10"/>
    <col collapsed="false" customWidth="true" hidden="false" outlineLevel="0" max="5" min="5" style="0" width="26"/>
    <col collapsed="false" customWidth="true" hidden="false" outlineLevel="0" max="6" min="6" style="0" width="11"/>
  </cols>
  <sheetData>
    <row r="1" customFormat="false" ht="19.7" hidden="false" customHeight="false" outlineLevel="0" collapsed="false">
      <c r="A1" s="1" t="s">
        <v>102</v>
      </c>
    </row>
    <row r="2" customFormat="false" ht="15" hidden="false" customHeight="false" outlineLevel="0" collapsed="false">
      <c r="A2" s="2" t="s">
        <v>103</v>
      </c>
    </row>
    <row r="4" customFormat="false" ht="15" hidden="false" customHeight="false" outlineLevel="0" collapsed="false">
      <c r="A4" s="6" t="s">
        <v>24</v>
      </c>
      <c r="B4" s="6" t="s">
        <v>104</v>
      </c>
      <c r="C4" s="6" t="s">
        <v>105</v>
      </c>
      <c r="D4" s="6" t="s">
        <v>106</v>
      </c>
      <c r="E4" s="6" t="s">
        <v>107</v>
      </c>
      <c r="F4" s="6" t="s">
        <v>34</v>
      </c>
    </row>
    <row r="5" customFormat="false" ht="23.85" hidden="false" customHeight="false" outlineLevel="0" collapsed="false">
      <c r="A5" s="7" t="s">
        <v>108</v>
      </c>
      <c r="B5" s="7" t="s">
        <v>109</v>
      </c>
      <c r="C5" s="7" t="s">
        <v>110</v>
      </c>
      <c r="D5" s="7" t="s">
        <v>111</v>
      </c>
      <c r="E5" s="11"/>
      <c r="F5" s="11" t="s">
        <v>41</v>
      </c>
    </row>
    <row r="6" customFormat="false" ht="15" hidden="false" customHeight="false" outlineLevel="0" collapsed="false">
      <c r="A6" s="7" t="s">
        <v>112</v>
      </c>
      <c r="B6" s="7" t="s">
        <v>113</v>
      </c>
      <c r="C6" s="7" t="s">
        <v>114</v>
      </c>
      <c r="D6" s="7" t="s">
        <v>111</v>
      </c>
      <c r="E6" s="11"/>
      <c r="F6" s="11" t="s">
        <v>41</v>
      </c>
    </row>
    <row r="7" customFormat="false" ht="15" hidden="false" customHeight="false" outlineLevel="0" collapsed="false">
      <c r="A7" s="7" t="s">
        <v>112</v>
      </c>
      <c r="B7" s="7" t="s">
        <v>115</v>
      </c>
      <c r="C7" s="7" t="s">
        <v>116</v>
      </c>
      <c r="D7" s="7" t="s">
        <v>111</v>
      </c>
      <c r="E7" s="11"/>
      <c r="F7" s="11" t="s">
        <v>41</v>
      </c>
    </row>
    <row r="8" customFormat="false" ht="15" hidden="false" customHeight="false" outlineLevel="0" collapsed="false">
      <c r="A8" s="7" t="s">
        <v>117</v>
      </c>
      <c r="B8" s="7" t="s">
        <v>118</v>
      </c>
      <c r="C8" s="7" t="s">
        <v>119</v>
      </c>
      <c r="D8" s="7" t="s">
        <v>111</v>
      </c>
      <c r="E8" s="11"/>
      <c r="F8" s="11" t="s">
        <v>41</v>
      </c>
    </row>
    <row r="9" customFormat="false" ht="15" hidden="false" customHeight="false" outlineLevel="0" collapsed="false">
      <c r="A9" s="7" t="s">
        <v>117</v>
      </c>
      <c r="B9" s="7" t="s">
        <v>120</v>
      </c>
      <c r="C9" s="7" t="s">
        <v>121</v>
      </c>
      <c r="D9" s="7" t="s">
        <v>111</v>
      </c>
      <c r="E9" s="11"/>
      <c r="F9" s="11" t="s">
        <v>41</v>
      </c>
    </row>
    <row r="10" customFormat="false" ht="15" hidden="false" customHeight="false" outlineLevel="0" collapsed="false">
      <c r="A10" s="7" t="s">
        <v>117</v>
      </c>
      <c r="B10" s="7" t="s">
        <v>122</v>
      </c>
      <c r="C10" s="7" t="s">
        <v>123</v>
      </c>
      <c r="D10" s="7" t="s">
        <v>124</v>
      </c>
      <c r="E10" s="11"/>
      <c r="F10" s="11" t="s">
        <v>41</v>
      </c>
    </row>
    <row r="11" customFormat="false" ht="15" hidden="false" customHeight="false" outlineLevel="0" collapsed="false">
      <c r="A11" s="7" t="s">
        <v>125</v>
      </c>
      <c r="B11" s="7" t="s">
        <v>126</v>
      </c>
      <c r="C11" s="7" t="s">
        <v>127</v>
      </c>
      <c r="D11" s="7" t="s">
        <v>111</v>
      </c>
      <c r="E11" s="11"/>
      <c r="F11" s="11" t="s">
        <v>41</v>
      </c>
    </row>
    <row r="12" customFormat="false" ht="15" hidden="false" customHeight="false" outlineLevel="0" collapsed="false">
      <c r="A12" s="7" t="s">
        <v>125</v>
      </c>
      <c r="B12" s="7" t="s">
        <v>128</v>
      </c>
      <c r="C12" s="7" t="s">
        <v>129</v>
      </c>
      <c r="D12" s="7" t="s">
        <v>124</v>
      </c>
      <c r="E12" s="11"/>
      <c r="F12" s="11" t="s">
        <v>41</v>
      </c>
    </row>
    <row r="13" customFormat="false" ht="15" hidden="false" customHeight="false" outlineLevel="0" collapsed="false">
      <c r="A13" s="7" t="s">
        <v>130</v>
      </c>
      <c r="B13" s="7" t="s">
        <v>131</v>
      </c>
      <c r="C13" s="7" t="s">
        <v>132</v>
      </c>
      <c r="D13" s="7" t="s">
        <v>111</v>
      </c>
      <c r="E13" s="11"/>
      <c r="F13" s="11" t="s">
        <v>41</v>
      </c>
    </row>
    <row r="14" customFormat="false" ht="15" hidden="false" customHeight="false" outlineLevel="0" collapsed="false">
      <c r="A14" s="7" t="s">
        <v>133</v>
      </c>
      <c r="B14" s="7" t="s">
        <v>134</v>
      </c>
      <c r="C14" s="7" t="s">
        <v>135</v>
      </c>
      <c r="D14" s="7" t="s">
        <v>111</v>
      </c>
      <c r="E14" s="11"/>
      <c r="F14" s="11" t="s">
        <v>41</v>
      </c>
    </row>
    <row r="15" customFormat="false" ht="15" hidden="false" customHeight="false" outlineLevel="0" collapsed="false">
      <c r="A15" s="7" t="s">
        <v>133</v>
      </c>
      <c r="B15" s="7" t="s">
        <v>136</v>
      </c>
      <c r="C15" s="7" t="s">
        <v>137</v>
      </c>
      <c r="D15" s="7" t="s">
        <v>111</v>
      </c>
      <c r="E15" s="11"/>
      <c r="F15" s="11" t="s">
        <v>41</v>
      </c>
    </row>
    <row r="16" customFormat="false" ht="15" hidden="false" customHeight="false" outlineLevel="0" collapsed="false">
      <c r="A16" s="7" t="s">
        <v>138</v>
      </c>
      <c r="B16" s="7" t="s">
        <v>139</v>
      </c>
      <c r="C16" s="7" t="s">
        <v>140</v>
      </c>
      <c r="D16" s="7" t="s">
        <v>111</v>
      </c>
      <c r="E16" s="11"/>
      <c r="F16" s="11" t="s">
        <v>41</v>
      </c>
    </row>
    <row r="17" customFormat="false" ht="15" hidden="false" customHeight="false" outlineLevel="0" collapsed="false">
      <c r="A17" s="7" t="s">
        <v>138</v>
      </c>
      <c r="B17" s="7" t="s">
        <v>141</v>
      </c>
      <c r="C17" s="7" t="s">
        <v>140</v>
      </c>
      <c r="D17" s="7" t="s">
        <v>111</v>
      </c>
      <c r="E17" s="11"/>
      <c r="F17" s="11" t="s">
        <v>41</v>
      </c>
    </row>
    <row r="18" customFormat="false" ht="15" hidden="false" customHeight="false" outlineLevel="0" collapsed="false">
      <c r="A18" s="7" t="s">
        <v>138</v>
      </c>
      <c r="B18" s="7" t="s">
        <v>142</v>
      </c>
      <c r="C18" s="7" t="s">
        <v>143</v>
      </c>
      <c r="D18" s="7" t="s">
        <v>111</v>
      </c>
      <c r="E18" s="11"/>
      <c r="F18" s="11" t="s">
        <v>41</v>
      </c>
    </row>
    <row r="19" customFormat="false" ht="15" hidden="false" customHeight="false" outlineLevel="0" collapsed="false">
      <c r="A19" s="7" t="s">
        <v>144</v>
      </c>
      <c r="B19" s="7" t="s">
        <v>145</v>
      </c>
      <c r="C19" s="7" t="s">
        <v>146</v>
      </c>
      <c r="D19" s="7" t="s">
        <v>124</v>
      </c>
      <c r="E19" s="11"/>
      <c r="F19" s="11" t="s">
        <v>41</v>
      </c>
    </row>
    <row r="20" customFormat="false" ht="15" hidden="false" customHeight="false" outlineLevel="0" collapsed="false">
      <c r="A20" s="7" t="s">
        <v>147</v>
      </c>
      <c r="B20" s="7" t="s">
        <v>148</v>
      </c>
      <c r="C20" s="7" t="s">
        <v>149</v>
      </c>
      <c r="D20" s="7" t="s">
        <v>111</v>
      </c>
      <c r="E20" s="11"/>
      <c r="F20" s="11" t="s">
        <v>41</v>
      </c>
    </row>
    <row r="21" customFormat="false" ht="15" hidden="false" customHeight="false" outlineLevel="0" collapsed="false">
      <c r="A21" s="7" t="s">
        <v>147</v>
      </c>
      <c r="B21" s="7" t="s">
        <v>150</v>
      </c>
      <c r="C21" s="7" t="s">
        <v>140</v>
      </c>
      <c r="D21" s="7" t="s">
        <v>124</v>
      </c>
      <c r="E21" s="11"/>
      <c r="F21" s="11" t="s">
        <v>41</v>
      </c>
    </row>
    <row r="22" customFormat="false" ht="15" hidden="false" customHeight="false" outlineLevel="0" collapsed="false">
      <c r="A22" s="7" t="s">
        <v>151</v>
      </c>
      <c r="B22" s="7" t="s">
        <v>152</v>
      </c>
      <c r="C22" s="7" t="s">
        <v>140</v>
      </c>
      <c r="D22" s="7" t="s">
        <v>111</v>
      </c>
      <c r="E22" s="11"/>
      <c r="F22" s="11" t="s">
        <v>41</v>
      </c>
    </row>
    <row r="23" customFormat="false" ht="15" hidden="false" customHeight="false" outlineLevel="0" collapsed="false">
      <c r="A23" s="7" t="s">
        <v>151</v>
      </c>
      <c r="B23" s="7" t="s">
        <v>153</v>
      </c>
      <c r="C23" s="7" t="s">
        <v>154</v>
      </c>
      <c r="D23" s="7" t="s">
        <v>124</v>
      </c>
      <c r="E23" s="11"/>
      <c r="F23" s="11" t="s">
        <v>41</v>
      </c>
    </row>
    <row r="24" customFormat="false" ht="15" hidden="false" customHeight="false" outlineLevel="0" collapsed="false">
      <c r="A24" s="7" t="s">
        <v>155</v>
      </c>
      <c r="B24" s="7" t="s">
        <v>156</v>
      </c>
      <c r="C24" s="7" t="s">
        <v>157</v>
      </c>
      <c r="D24" s="7" t="s">
        <v>124</v>
      </c>
      <c r="E24" s="11"/>
      <c r="F24" s="11" t="s">
        <v>41</v>
      </c>
    </row>
    <row r="25" customFormat="false" ht="15" hidden="false" customHeight="false" outlineLevel="0" collapsed="false">
      <c r="A25" s="7" t="s">
        <v>158</v>
      </c>
      <c r="B25" s="7" t="s">
        <v>159</v>
      </c>
      <c r="C25" s="7" t="s">
        <v>160</v>
      </c>
      <c r="D25" s="7" t="s">
        <v>124</v>
      </c>
      <c r="E25" s="11"/>
      <c r="F25" s="11" t="s">
        <v>41</v>
      </c>
    </row>
    <row r="27" customFormat="false" ht="15" hidden="false" customHeight="false" outlineLevel="0" collapsed="false">
      <c r="B27" s="9" t="s">
        <v>161</v>
      </c>
      <c r="D27" s="9" t="n">
        <f aca="false">COUNTIF(D5:D25,"MUST")</f>
        <v>14</v>
      </c>
    </row>
    <row r="28" customFormat="false" ht="15" hidden="false" customHeight="false" outlineLevel="0" collapsed="false">
      <c r="B28" s="9" t="s">
        <v>162</v>
      </c>
      <c r="D28" s="9" t="n">
        <f aca="false">COUNTIF(F5:F25,"Received")+COUNTIF(F5:F25,"Approved")</f>
        <v>0</v>
      </c>
    </row>
    <row r="30" customFormat="false" ht="15" hidden="false" customHeight="false" outlineLevel="0" collapsed="false">
      <c r="B30" s="12" t="s">
        <v>163</v>
      </c>
    </row>
    <row r="31" customFormat="false" ht="15" hidden="false" customHeight="false" outlineLevel="0" collapsed="false">
      <c r="B31" s="13" t="s">
        <v>164</v>
      </c>
    </row>
    <row r="32" customFormat="false" ht="15" hidden="false" customHeight="false" outlineLevel="0" collapsed="false">
      <c r="B32" s="13" t="s">
        <v>165</v>
      </c>
    </row>
    <row r="33" customFormat="false" ht="15" hidden="false" customHeight="false" outlineLevel="0" collapsed="false">
      <c r="B33" s="13" t="s">
        <v>166</v>
      </c>
    </row>
    <row r="34" customFormat="false" ht="15" hidden="false" customHeight="false" outlineLevel="0" collapsed="false">
      <c r="B34" s="13" t="s">
        <v>167</v>
      </c>
    </row>
    <row r="35" customFormat="false" ht="15" hidden="false" customHeight="false" outlineLevel="0" collapsed="false">
      <c r="B35" s="13" t="s">
        <v>168</v>
      </c>
    </row>
  </sheetData>
  <dataValidations count="1">
    <dataValidation allowBlank="true" errorStyle="stop" operator="between" showDropDown="false" showErrorMessage="false" showInputMessage="false" sqref="F5:F25" type="list">
      <formula1>"To Do,Shot,Received,Approved"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44"/>
    <col collapsed="false" customWidth="true" hidden="false" outlineLevel="0" max="4" min="4" style="0" width="70"/>
    <col collapsed="false" customWidth="true" hidden="false" outlineLevel="0" max="5" min="5" style="0" width="18"/>
    <col collapsed="false" customWidth="true" hidden="false" outlineLevel="0" max="6" min="6" style="0" width="12"/>
  </cols>
  <sheetData>
    <row r="1" customFormat="false" ht="19.7" hidden="false" customHeight="false" outlineLevel="0" collapsed="false">
      <c r="A1" s="1" t="s">
        <v>169</v>
      </c>
    </row>
    <row r="2" customFormat="false" ht="15" hidden="false" customHeight="false" outlineLevel="0" collapsed="false">
      <c r="A2" s="2" t="s">
        <v>170</v>
      </c>
    </row>
    <row r="4" customFormat="false" ht="15" hidden="false" customHeight="false" outlineLevel="0" collapsed="false">
      <c r="A4" s="6" t="s">
        <v>24</v>
      </c>
      <c r="B4" s="6" t="s">
        <v>171</v>
      </c>
      <c r="C4" s="6" t="s">
        <v>172</v>
      </c>
      <c r="D4" s="6" t="s">
        <v>173</v>
      </c>
      <c r="E4" s="6" t="s">
        <v>174</v>
      </c>
      <c r="F4" s="6" t="s">
        <v>175</v>
      </c>
    </row>
    <row r="5" customFormat="false" ht="23.85" hidden="false" customHeight="false" outlineLevel="0" collapsed="false">
      <c r="A5" s="7" t="s">
        <v>133</v>
      </c>
      <c r="B5" s="7" t="s">
        <v>176</v>
      </c>
      <c r="C5" s="7" t="s">
        <v>177</v>
      </c>
      <c r="D5" s="7" t="s">
        <v>178</v>
      </c>
      <c r="E5" s="7" t="s">
        <v>179</v>
      </c>
      <c r="F5" s="7" t="n">
        <v>8.75</v>
      </c>
    </row>
    <row r="6" customFormat="false" ht="23.85" hidden="false" customHeight="false" outlineLevel="0" collapsed="false">
      <c r="A6" s="7" t="s">
        <v>133</v>
      </c>
      <c r="B6" s="7" t="s">
        <v>176</v>
      </c>
      <c r="C6" s="7" t="s">
        <v>180</v>
      </c>
      <c r="D6" s="7" t="s">
        <v>181</v>
      </c>
      <c r="E6" s="7" t="s">
        <v>179</v>
      </c>
      <c r="F6" s="7" t="n">
        <v>8.75</v>
      </c>
    </row>
    <row r="7" customFormat="false" ht="23.85" hidden="false" customHeight="false" outlineLevel="0" collapsed="false">
      <c r="A7" s="7" t="s">
        <v>182</v>
      </c>
      <c r="B7" s="7" t="s">
        <v>176</v>
      </c>
      <c r="C7" s="7" t="s">
        <v>183</v>
      </c>
      <c r="D7" s="7" t="s">
        <v>184</v>
      </c>
      <c r="E7" s="7" t="s">
        <v>179</v>
      </c>
      <c r="F7" s="7" t="n">
        <v>8.75</v>
      </c>
    </row>
    <row r="8" customFormat="false" ht="15" hidden="false" customHeight="false" outlineLevel="0" collapsed="false">
      <c r="A8" s="7" t="s">
        <v>144</v>
      </c>
      <c r="B8" s="7" t="s">
        <v>176</v>
      </c>
      <c r="C8" s="7" t="s">
        <v>185</v>
      </c>
      <c r="D8" s="7" t="s">
        <v>186</v>
      </c>
      <c r="E8" s="7" t="s">
        <v>179</v>
      </c>
      <c r="F8" s="7" t="n">
        <v>8.75</v>
      </c>
    </row>
    <row r="9" customFormat="false" ht="15" hidden="false" customHeight="false" outlineLevel="0" collapsed="false">
      <c r="A9" s="7" t="s">
        <v>158</v>
      </c>
      <c r="B9" s="7" t="s">
        <v>176</v>
      </c>
      <c r="C9" s="7" t="s">
        <v>187</v>
      </c>
      <c r="D9" s="7" t="s">
        <v>188</v>
      </c>
      <c r="E9" s="7" t="s">
        <v>189</v>
      </c>
      <c r="F9" s="7" t="n">
        <v>7</v>
      </c>
    </row>
    <row r="10" customFormat="false" ht="15" hidden="false" customHeight="false" outlineLevel="0" collapsed="false">
      <c r="A10" s="7" t="s">
        <v>158</v>
      </c>
      <c r="B10" s="7" t="s">
        <v>176</v>
      </c>
      <c r="C10" s="7" t="s">
        <v>190</v>
      </c>
      <c r="D10" s="7" t="s">
        <v>188</v>
      </c>
      <c r="E10" s="7" t="s">
        <v>191</v>
      </c>
      <c r="F10" s="7" t="n">
        <v>1</v>
      </c>
    </row>
    <row r="11" customFormat="false" ht="15" hidden="false" customHeight="false" outlineLevel="0" collapsed="false">
      <c r="A11" s="7" t="s">
        <v>192</v>
      </c>
      <c r="B11" s="7" t="s">
        <v>98</v>
      </c>
      <c r="C11" s="7" t="s">
        <v>193</v>
      </c>
      <c r="D11" s="7" t="s">
        <v>188</v>
      </c>
      <c r="E11" s="7" t="s">
        <v>194</v>
      </c>
      <c r="F11" s="7" t="n">
        <v>0</v>
      </c>
    </row>
    <row r="12" customFormat="false" ht="15" hidden="false" customHeight="false" outlineLevel="0" collapsed="false">
      <c r="A12" s="7" t="s">
        <v>133</v>
      </c>
      <c r="B12" s="7" t="s">
        <v>98</v>
      </c>
      <c r="C12" s="7" t="s">
        <v>195</v>
      </c>
      <c r="D12" s="7" t="s">
        <v>188</v>
      </c>
      <c r="E12" s="7" t="s">
        <v>194</v>
      </c>
      <c r="F12" s="7" t="n">
        <v>0</v>
      </c>
    </row>
    <row r="13" customFormat="false" ht="15" hidden="false" customHeight="false" outlineLevel="0" collapsed="false">
      <c r="A13" s="7" t="s">
        <v>144</v>
      </c>
      <c r="B13" s="7" t="s">
        <v>98</v>
      </c>
      <c r="C13" s="7" t="s">
        <v>196</v>
      </c>
      <c r="D13" s="7" t="s">
        <v>188</v>
      </c>
      <c r="E13" s="7" t="s">
        <v>194</v>
      </c>
      <c r="F13" s="7" t="n">
        <v>0</v>
      </c>
    </row>
    <row r="14" customFormat="false" ht="15" hidden="false" customHeight="false" outlineLevel="0" collapsed="false">
      <c r="A14" s="7" t="s">
        <v>197</v>
      </c>
      <c r="B14" s="7" t="s">
        <v>98</v>
      </c>
      <c r="C14" s="7" t="s">
        <v>198</v>
      </c>
      <c r="D14" s="7" t="s">
        <v>188</v>
      </c>
      <c r="E14" s="7" t="s">
        <v>194</v>
      </c>
      <c r="F14" s="7" t="n">
        <v>0</v>
      </c>
    </row>
    <row r="15" customFormat="false" ht="15" hidden="false" customHeight="false" outlineLevel="0" collapsed="false">
      <c r="A15" s="7" t="s">
        <v>158</v>
      </c>
      <c r="B15" s="7" t="s">
        <v>98</v>
      </c>
      <c r="C15" s="7" t="s">
        <v>199</v>
      </c>
      <c r="D15" s="7" t="s">
        <v>188</v>
      </c>
      <c r="E15" s="7" t="s">
        <v>194</v>
      </c>
      <c r="F15" s="7" t="n">
        <v>0</v>
      </c>
    </row>
    <row r="16" customFormat="false" ht="15" hidden="false" customHeight="false" outlineLevel="0" collapsed="false">
      <c r="E16" s="9" t="s">
        <v>200</v>
      </c>
      <c r="F16" s="9" t="n">
        <f aca="false">SUM(F5:F15)</f>
        <v>43</v>
      </c>
    </row>
    <row r="17" customFormat="false" ht="15" hidden="false" customHeight="false" outlineLevel="0" collapsed="false">
      <c r="E17" s="0" t="s">
        <v>201</v>
      </c>
      <c r="F17" s="14" t="n">
        <v>356.9</v>
      </c>
    </row>
    <row r="18" customFormat="false" ht="15" hidden="false" customHeight="false" outlineLevel="0" collapsed="false">
      <c r="E18" s="0" t="s">
        <v>202</v>
      </c>
      <c r="F18" s="0" t="n">
        <f aca="false">F17-F16</f>
        <v>313.9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9.7" hidden="false" customHeight="false" outlineLevel="0" collapsed="false">
      <c r="A1" s="1" t="s">
        <v>203</v>
      </c>
    </row>
    <row r="2" customFormat="false" ht="15" hidden="false" customHeight="false" outlineLevel="0" collapsed="false">
      <c r="A2" s="2" t="s">
        <v>204</v>
      </c>
    </row>
    <row r="4" customFormat="false" ht="15" hidden="false" customHeight="false" outlineLevel="0" collapsed="false">
      <c r="A4" s="6" t="s">
        <v>205</v>
      </c>
      <c r="B4" s="6" t="s">
        <v>206</v>
      </c>
    </row>
    <row r="5" customFormat="false" ht="15" hidden="false" customHeight="false" outlineLevel="0" collapsed="false">
      <c r="A5" s="7" t="s">
        <v>207</v>
      </c>
      <c r="B5" s="7" t="s">
        <v>208</v>
      </c>
    </row>
    <row r="6" customFormat="false" ht="15" hidden="false" customHeight="false" outlineLevel="0" collapsed="false">
      <c r="A6" s="7" t="s">
        <v>209</v>
      </c>
      <c r="B6" s="7" t="s">
        <v>210</v>
      </c>
    </row>
    <row r="7" customFormat="false" ht="15" hidden="false" customHeight="false" outlineLevel="0" collapsed="false">
      <c r="A7" s="7" t="s">
        <v>211</v>
      </c>
      <c r="B7" s="7" t="s">
        <v>212</v>
      </c>
    </row>
    <row r="8" customFormat="false" ht="15" hidden="false" customHeight="false" outlineLevel="0" collapsed="false">
      <c r="A8" s="7" t="s">
        <v>213</v>
      </c>
      <c r="B8" s="7" t="s">
        <v>214</v>
      </c>
    </row>
    <row r="9" customFormat="false" ht="15" hidden="false" customHeight="false" outlineLevel="0" collapsed="false">
      <c r="A9" s="7" t="s">
        <v>215</v>
      </c>
      <c r="B9" s="7" t="s">
        <v>216</v>
      </c>
    </row>
    <row r="10" customFormat="false" ht="15" hidden="false" customHeight="false" outlineLevel="0" collapsed="false">
      <c r="A10" s="7" t="s">
        <v>217</v>
      </c>
      <c r="B10" s="7" t="s">
        <v>218</v>
      </c>
    </row>
    <row r="11" customFormat="false" ht="15" hidden="false" customHeight="false" outlineLevel="0" collapsed="false">
      <c r="A11" s="7" t="s">
        <v>219</v>
      </c>
      <c r="B11" s="7" t="s">
        <v>220</v>
      </c>
    </row>
    <row r="12" customFormat="false" ht="15" hidden="false" customHeight="false" outlineLevel="0" collapsed="false">
      <c r="A12" s="7" t="s">
        <v>221</v>
      </c>
      <c r="B12" s="7" t="s">
        <v>222</v>
      </c>
    </row>
    <row r="13" customFormat="false" ht="23.85" hidden="false" customHeight="false" outlineLevel="0" collapsed="false">
      <c r="A13" s="7" t="s">
        <v>223</v>
      </c>
      <c r="B13" s="7" t="s">
        <v>224</v>
      </c>
    </row>
    <row r="14" customFormat="false" ht="15" hidden="false" customHeight="false" outlineLevel="0" collapsed="false">
      <c r="A14" s="7" t="s">
        <v>225</v>
      </c>
      <c r="B14" s="7" t="s">
        <v>226</v>
      </c>
    </row>
    <row r="15" customFormat="false" ht="15" hidden="false" customHeight="false" outlineLevel="0" collapsed="false">
      <c r="A15" s="7" t="s">
        <v>227</v>
      </c>
      <c r="B15" s="7" t="s">
        <v>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0"/>
    <col collapsed="false" customWidth="true" hidden="false" outlineLevel="0" max="4" min="3" style="0" width="18"/>
    <col collapsed="false" customWidth="true" hidden="false" outlineLevel="0" max="5" min="5" style="0" width="32"/>
  </cols>
  <sheetData>
    <row r="1" customFormat="false" ht="19.7" hidden="false" customHeight="false" outlineLevel="0" collapsed="false">
      <c r="A1" s="1" t="s">
        <v>229</v>
      </c>
    </row>
    <row r="2" customFormat="false" ht="15" hidden="false" customHeight="false" outlineLevel="0" collapsed="false">
      <c r="A2" s="2" t="s">
        <v>230</v>
      </c>
    </row>
    <row r="4" customFormat="false" ht="15" hidden="false" customHeight="false" outlineLevel="0" collapsed="false">
      <c r="A4" s="6" t="s">
        <v>231</v>
      </c>
      <c r="B4" s="6" t="s">
        <v>232</v>
      </c>
      <c r="C4" s="6" t="s">
        <v>233</v>
      </c>
      <c r="D4" s="6" t="s">
        <v>234</v>
      </c>
      <c r="E4" s="6" t="s">
        <v>235</v>
      </c>
    </row>
    <row r="5" customFormat="false" ht="15" hidden="false" customHeight="false" outlineLevel="0" collapsed="false">
      <c r="A5" s="7" t="s">
        <v>236</v>
      </c>
      <c r="B5" s="11" t="n">
        <v>10</v>
      </c>
      <c r="C5" s="15"/>
      <c r="D5" s="16" t="n">
        <f aca="false">B5*C5</f>
        <v>0</v>
      </c>
      <c r="E5" s="7" t="s">
        <v>237</v>
      </c>
    </row>
    <row r="6" customFormat="false" ht="15" hidden="false" customHeight="false" outlineLevel="0" collapsed="false">
      <c r="A6" s="7" t="s">
        <v>238</v>
      </c>
      <c r="B6" s="11" t="n">
        <v>10</v>
      </c>
      <c r="C6" s="15"/>
      <c r="D6" s="16" t="n">
        <f aca="false">B6*C6</f>
        <v>0</v>
      </c>
      <c r="E6" s="7" t="s">
        <v>239</v>
      </c>
    </row>
    <row r="7" customFormat="false" ht="15" hidden="false" customHeight="false" outlineLevel="0" collapsed="false">
      <c r="A7" s="7" t="s">
        <v>139</v>
      </c>
      <c r="B7" s="11" t="n">
        <v>2</v>
      </c>
      <c r="C7" s="15"/>
      <c r="D7" s="16" t="n">
        <f aca="false">B7*C7</f>
        <v>0</v>
      </c>
      <c r="E7" s="7"/>
    </row>
    <row r="8" customFormat="false" ht="15" hidden="false" customHeight="false" outlineLevel="0" collapsed="false">
      <c r="A8" s="7" t="s">
        <v>141</v>
      </c>
      <c r="B8" s="11" t="n">
        <v>1</v>
      </c>
      <c r="C8" s="15"/>
      <c r="D8" s="16" t="n">
        <f aca="false">B8*C8</f>
        <v>0</v>
      </c>
      <c r="E8" s="7"/>
    </row>
    <row r="9" customFormat="false" ht="15" hidden="false" customHeight="false" outlineLevel="0" collapsed="false">
      <c r="A9" s="7" t="s">
        <v>240</v>
      </c>
      <c r="B9" s="11" t="n">
        <v>4</v>
      </c>
      <c r="C9" s="15"/>
      <c r="D9" s="16" t="n">
        <f aca="false">B9*C9</f>
        <v>0</v>
      </c>
      <c r="E9" s="7"/>
    </row>
    <row r="10" customFormat="false" ht="15" hidden="false" customHeight="false" outlineLevel="0" collapsed="false">
      <c r="A10" s="7" t="s">
        <v>241</v>
      </c>
      <c r="B10" s="11" t="n">
        <v>10</v>
      </c>
      <c r="C10" s="15"/>
      <c r="D10" s="16" t="n">
        <f aca="false">B10*C10</f>
        <v>0</v>
      </c>
      <c r="E10" s="7"/>
    </row>
    <row r="11" customFormat="false" ht="15" hidden="false" customHeight="false" outlineLevel="0" collapsed="false">
      <c r="A11" s="7" t="s">
        <v>242</v>
      </c>
      <c r="B11" s="11" t="n">
        <v>2</v>
      </c>
      <c r="C11" s="15"/>
      <c r="D11" s="16" t="n">
        <f aca="false">B11*C11</f>
        <v>0</v>
      </c>
      <c r="E11" s="7"/>
    </row>
    <row r="12" customFormat="false" ht="15" hidden="false" customHeight="false" outlineLevel="0" collapsed="false">
      <c r="A12" s="7" t="s">
        <v>243</v>
      </c>
      <c r="B12" s="11" t="n">
        <v>1</v>
      </c>
      <c r="C12" s="15"/>
      <c r="D12" s="16" t="n">
        <f aca="false">B12*C12</f>
        <v>0</v>
      </c>
      <c r="E12" s="7"/>
    </row>
    <row r="13" customFormat="false" ht="15" hidden="false" customHeight="false" outlineLevel="0" collapsed="false">
      <c r="A13" s="7" t="s">
        <v>244</v>
      </c>
      <c r="B13" s="11" t="n">
        <v>1</v>
      </c>
      <c r="C13" s="15"/>
      <c r="D13" s="16" t="n">
        <f aca="false">B13*C13</f>
        <v>0</v>
      </c>
      <c r="E13" s="7"/>
    </row>
    <row r="14" customFormat="false" ht="15" hidden="false" customHeight="false" outlineLevel="0" collapsed="false">
      <c r="A14" s="7" t="s">
        <v>245</v>
      </c>
      <c r="B14" s="11" t="n">
        <v>1</v>
      </c>
      <c r="C14" s="15"/>
      <c r="D14" s="16" t="n">
        <f aca="false">B14*C14</f>
        <v>0</v>
      </c>
      <c r="E14" s="7" t="s">
        <v>246</v>
      </c>
    </row>
    <row r="15" customFormat="false" ht="15" hidden="false" customHeight="false" outlineLevel="0" collapsed="false">
      <c r="A15" s="7" t="s">
        <v>247</v>
      </c>
      <c r="B15" s="11" t="n">
        <v>1</v>
      </c>
      <c r="C15" s="15"/>
      <c r="D15" s="16" t="n">
        <f aca="false">B15*C15</f>
        <v>0</v>
      </c>
      <c r="E15" s="7" t="s">
        <v>248</v>
      </c>
    </row>
    <row r="16" customFormat="false" ht="15" hidden="false" customHeight="false" outlineLevel="0" collapsed="false">
      <c r="A16" s="7" t="s">
        <v>249</v>
      </c>
      <c r="B16" s="11" t="n">
        <v>10000</v>
      </c>
      <c r="C16" s="15"/>
      <c r="D16" s="16" t="n">
        <f aca="false">B16*C16</f>
        <v>0</v>
      </c>
      <c r="E16" s="7" t="s">
        <v>250</v>
      </c>
    </row>
    <row r="17" customFormat="false" ht="15" hidden="false" customHeight="false" outlineLevel="0" collapsed="false">
      <c r="A17" s="7" t="s">
        <v>251</v>
      </c>
      <c r="B17" s="11" t="n">
        <v>1</v>
      </c>
      <c r="C17" s="15"/>
      <c r="D17" s="16" t="n">
        <f aca="false">B17*C17</f>
        <v>0</v>
      </c>
      <c r="E17" s="7"/>
    </row>
    <row r="18" customFormat="false" ht="15" hidden="false" customHeight="false" outlineLevel="0" collapsed="false">
      <c r="A18" s="9" t="s">
        <v>252</v>
      </c>
      <c r="B18" s="13"/>
      <c r="C18" s="13"/>
      <c r="D18" s="17" t="n">
        <f aca="false">SUM(D5:D17)</f>
        <v>0</v>
      </c>
    </row>
    <row r="19" customFormat="false" ht="15" hidden="false" customHeight="false" outlineLevel="0" collapsed="false">
      <c r="A19" s="13"/>
      <c r="B19" s="13"/>
      <c r="C19" s="13"/>
      <c r="D19" s="13"/>
    </row>
    <row r="20" customFormat="false" ht="15" hidden="false" customHeight="false" outlineLevel="0" collapsed="false">
      <c r="A20" s="13" t="s">
        <v>253</v>
      </c>
      <c r="B20" s="13"/>
      <c r="C20" s="18"/>
      <c r="D20" s="13"/>
    </row>
    <row r="21" customFormat="false" ht="15" hidden="false" customHeight="false" outlineLevel="0" collapsed="false">
      <c r="A21" s="13" t="s">
        <v>254</v>
      </c>
      <c r="B21" s="13"/>
      <c r="C21" s="19" t="n">
        <v>3</v>
      </c>
      <c r="D21" s="13"/>
    </row>
    <row r="22" customFormat="false" ht="15" hidden="false" customHeight="false" outlineLevel="0" collapsed="false">
      <c r="A22" s="9" t="s">
        <v>255</v>
      </c>
      <c r="B22" s="13"/>
      <c r="C22" s="13"/>
      <c r="D22" s="17" t="n">
        <f aca="false">C20*C21</f>
        <v>0</v>
      </c>
    </row>
    <row r="23" customFormat="false" ht="15" hidden="false" customHeight="false" outlineLevel="0" collapsed="false">
      <c r="A23" s="9" t="s">
        <v>256</v>
      </c>
      <c r="B23" s="13"/>
      <c r="C23" s="20" t="n">
        <v>0.1</v>
      </c>
      <c r="D23" s="17" t="n">
        <f aca="false">(D18+D22)*C23</f>
        <v>0</v>
      </c>
    </row>
    <row r="24" customFormat="false" ht="15" hidden="false" customHeight="false" outlineLevel="0" collapsed="false">
      <c r="A24" s="13"/>
      <c r="B24" s="13"/>
      <c r="C24" s="13"/>
      <c r="D24" s="13"/>
    </row>
    <row r="25" customFormat="false" ht="15" hidden="false" customHeight="false" outlineLevel="0" collapsed="false">
      <c r="A25" s="9" t="s">
        <v>257</v>
      </c>
      <c r="B25" s="13"/>
      <c r="C25" s="13"/>
      <c r="D25" s="17" t="n">
        <f aca="false">D18+D22+D23</f>
        <v>0</v>
      </c>
    </row>
    <row r="26" customFormat="false" ht="15" hidden="false" customHeight="false" outlineLevel="0" collapsed="false">
      <c r="A26" s="13"/>
      <c r="B26" s="13"/>
      <c r="C26" s="13"/>
      <c r="D26" s="13"/>
    </row>
    <row r="27" customFormat="false" ht="15" hidden="false" customHeight="false" outlineLevel="0" collapsed="false">
      <c r="A27" s="21" t="s">
        <v>258</v>
      </c>
      <c r="B27" s="13"/>
      <c r="C27" s="13"/>
      <c r="D27" s="13"/>
    </row>
    <row r="28" customFormat="false" ht="15" hidden="false" customHeight="false" outlineLevel="0" collapsed="false">
      <c r="A28" s="13" t="s">
        <v>259</v>
      </c>
      <c r="B28" s="13"/>
      <c r="C28" s="22"/>
      <c r="D28" s="13"/>
    </row>
    <row r="29" customFormat="false" ht="15" hidden="false" customHeight="false" outlineLevel="0" collapsed="false">
      <c r="A29" s="13" t="s">
        <v>260</v>
      </c>
      <c r="B29" s="13"/>
      <c r="C29" s="13" t="n">
        <f aca="false">B5</f>
        <v>10</v>
      </c>
      <c r="D29" s="13"/>
    </row>
    <row r="30" customFormat="false" ht="15" hidden="false" customHeight="false" outlineLevel="0" collapsed="false">
      <c r="A30" s="13" t="s">
        <v>261</v>
      </c>
      <c r="B30" s="13"/>
      <c r="C30" s="22"/>
      <c r="D30" s="13"/>
    </row>
    <row r="31" customFormat="false" ht="15" hidden="false" customHeight="false" outlineLevel="0" collapsed="false">
      <c r="A31" s="9" t="s">
        <v>262</v>
      </c>
      <c r="B31" s="13"/>
      <c r="C31" s="9" t="n">
        <f aca="false">C28*C29+C30</f>
        <v>0</v>
      </c>
      <c r="D31"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0"/>
    <col collapsed="false" customWidth="true" hidden="false" outlineLevel="0" max="3" min="3" style="0" width="12"/>
  </cols>
  <sheetData>
    <row r="1" customFormat="false" ht="19.7" hidden="false" customHeight="false" outlineLevel="0" collapsed="false">
      <c r="A1" s="1" t="s">
        <v>263</v>
      </c>
    </row>
    <row r="2" customFormat="false" ht="15" hidden="false" customHeight="false" outlineLevel="0" collapsed="false">
      <c r="A2" s="2" t="s">
        <v>264</v>
      </c>
    </row>
    <row r="4" customFormat="false" ht="15" hidden="false" customHeight="false" outlineLevel="0" collapsed="false">
      <c r="A4" s="6" t="s">
        <v>231</v>
      </c>
      <c r="B4" s="6" t="s">
        <v>265</v>
      </c>
      <c r="C4" s="6" t="s">
        <v>106</v>
      </c>
    </row>
    <row r="5" customFormat="false" ht="15" hidden="false" customHeight="false" outlineLevel="0" collapsed="false">
      <c r="A5" s="7" t="s">
        <v>266</v>
      </c>
      <c r="B5" s="7" t="s">
        <v>267</v>
      </c>
      <c r="C5" s="7" t="s">
        <v>111</v>
      </c>
    </row>
    <row r="6" customFormat="false" ht="15" hidden="false" customHeight="false" outlineLevel="0" collapsed="false">
      <c r="A6" s="7" t="s">
        <v>268</v>
      </c>
      <c r="B6" s="7" t="s">
        <v>269</v>
      </c>
      <c r="C6" s="7" t="s">
        <v>111</v>
      </c>
    </row>
    <row r="7" customFormat="false" ht="15" hidden="false" customHeight="false" outlineLevel="0" collapsed="false">
      <c r="A7" s="7" t="s">
        <v>270</v>
      </c>
      <c r="B7" s="7" t="s">
        <v>271</v>
      </c>
      <c r="C7" s="7" t="s">
        <v>111</v>
      </c>
    </row>
    <row r="8" customFormat="false" ht="15" hidden="false" customHeight="false" outlineLevel="0" collapsed="false">
      <c r="A8" s="7" t="s">
        <v>272</v>
      </c>
      <c r="B8" s="7" t="s">
        <v>273</v>
      </c>
      <c r="C8" s="7" t="s">
        <v>111</v>
      </c>
    </row>
    <row r="9" customFormat="false" ht="15" hidden="false" customHeight="false" outlineLevel="0" collapsed="false">
      <c r="A9" s="7" t="s">
        <v>274</v>
      </c>
      <c r="B9" s="7" t="s">
        <v>275</v>
      </c>
      <c r="C9" s="7" t="s">
        <v>111</v>
      </c>
    </row>
    <row r="10" customFormat="false" ht="15" hidden="false" customHeight="false" outlineLevel="0" collapsed="false">
      <c r="A10" s="7" t="s">
        <v>276</v>
      </c>
      <c r="B10" s="7" t="s">
        <v>277</v>
      </c>
      <c r="C10" s="7" t="s">
        <v>278</v>
      </c>
    </row>
    <row r="11" customFormat="false" ht="15" hidden="false" customHeight="false" outlineLevel="0" collapsed="false">
      <c r="A11" s="7" t="s">
        <v>279</v>
      </c>
      <c r="B11" s="7" t="s">
        <v>280</v>
      </c>
      <c r="C11" s="7" t="s">
        <v>278</v>
      </c>
    </row>
    <row r="12" customFormat="false" ht="15" hidden="false" customHeight="false" outlineLevel="0" collapsed="false">
      <c r="A12" s="7" t="s">
        <v>281</v>
      </c>
      <c r="B12" s="7" t="s">
        <v>282</v>
      </c>
      <c r="C12" s="7" t="s">
        <v>111</v>
      </c>
    </row>
    <row r="13" customFormat="false" ht="15" hidden="false" customHeight="false" outlineLevel="0" collapsed="false">
      <c r="A13" s="7" t="s">
        <v>283</v>
      </c>
      <c r="B13" s="7" t="s">
        <v>284</v>
      </c>
      <c r="C13" s="7" t="s">
        <v>285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2026-10-31T08:02:35Z</dcterms:created>
  <dc:creator>openpyxl</dc:creator>
  <dc:description/>
  <dc:language>en-US</dc:language>
  <cp:lastModifiedBy/>
  <dcterms:modified xsi:type="dcterms:W3CDTF">2026-10-31T08:02:35Z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