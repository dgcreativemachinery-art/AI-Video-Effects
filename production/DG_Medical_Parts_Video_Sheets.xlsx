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ot_List" sheetId="1" state="visible" r:id="rId3"/>
    <sheet name="VO_Urdu" sheetId="2" state="visible" r:id="rId4"/>
    <sheet name="Original_BRoll" sheetId="3" state="visible" r:id="rId5"/>
    <sheet name="Credits_Use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<sst xmlns="http://schemas.openxmlformats.org/spreadsheetml/2006/main" count="171" uniqueCount="125">
  <si>
    <t xml:space="preserve">DG Tech Machinery — Plastic Medical Parts (Urdu, 4K 16:9)</t>
  </si>
  <si>
    <t xml:space="preserve">Final edit timeline. Source: AI (Higgsfield) / Motion Graphic. 'Replace with Original?' = Yes wale shots aapki asli footage se badle ja sakte hain.</t>
  </si>
  <si>
    <t xml:space="preserve">Scene</t>
  </si>
  <si>
    <t xml:space="preserve">Start (s)</t>
  </si>
  <si>
    <t xml:space="preserve">End (s)</t>
  </si>
  <si>
    <t xml:space="preserve">Duration (s)</t>
  </si>
  <si>
    <t xml:space="preserve">Source</t>
  </si>
  <si>
    <t xml:space="preserve">Visual</t>
  </si>
  <si>
    <t xml:space="preserve">On-screen text</t>
  </si>
  <si>
    <t xml:space="preserve">Replace with Original?</t>
  </si>
  <si>
    <t xml:space="preserve">Your B-roll file</t>
  </si>
  <si>
    <t xml:space="preserve">AI · Kling Pro</t>
  </si>
  <si>
    <t xml:space="preserve">Dark studio syringe, blue light sweep (hook)</t>
  </si>
  <si>
    <t xml:space="preserve">—</t>
  </si>
  <si>
    <t xml:space="preserve">No</t>
  </si>
  <si>
    <t xml:space="preserve">Oxygen mask orbit</t>
  </si>
  <si>
    <t xml:space="preserve">PP granules pouring into hopper</t>
  </si>
  <si>
    <t xml:space="preserve">MEDICAL GRADE RAW MATERIAL</t>
  </si>
  <si>
    <t xml:space="preserve">Optional</t>
  </si>
  <si>
    <t xml:space="preserve">Motion Graphic</t>
  </si>
  <si>
    <t xml:space="preserve">Title card: PLASTIC MEDICAL PARTS · Injection Molding Solutions + DG logo</t>
  </si>
  <si>
    <t xml:space="preserve">(card)</t>
  </si>
  <si>
    <t xml:space="preserve">AI · Kling 4K</t>
  </si>
  <si>
    <t xml:space="preserve">DG EPIII UPVC Plus machine (from poster) in clean room, push-in</t>
  </si>
  <si>
    <t xml:space="preserve">DG INJECTION MOLDING MACHINE</t>
  </si>
  <si>
    <t xml:space="preserve">YES — real machine shot</t>
  </si>
  <si>
    <t xml:space="preserve">Solution Information card (machine, series, application, products, solution)</t>
  </si>
  <si>
    <t xml:space="preserve">Mould opens, syringe barrels eject</t>
  </si>
  <si>
    <t xml:space="preserve">HIGH-PRECISION MULTI-CAVITY MOULD</t>
  </si>
  <si>
    <t xml:space="preserve">YES — real mould</t>
  </si>
  <si>
    <t xml:space="preserve">Robot arm places barrels on conveyor</t>
  </si>
  <si>
    <t xml:space="preserve">ROBOTIC AUTOMATION</t>
  </si>
  <si>
    <t xml:space="preserve">YES if you have robot</t>
  </si>
  <si>
    <t xml:space="preserve">Clean-room assembly line</t>
  </si>
  <si>
    <t xml:space="preserve">CLEAN-ROOM ASSEMBLY LINE</t>
  </si>
  <si>
    <t xml:space="preserve">Optional (customer site)</t>
  </si>
  <si>
    <t xml:space="preserve">Syringe parts assemble (component breakdown)</t>
  </si>
  <si>
    <t xml:space="preserve">PRECISION COMPONENTS</t>
  </si>
  <si>
    <t xml:space="preserve">3 syringes glide</t>
  </si>
  <si>
    <t xml:space="preserve">DISPOSABLE SYRINGES</t>
  </si>
  <si>
    <t xml:space="preserve">Stool containers arc</t>
  </si>
  <si>
    <t xml:space="preserve">STOOL CONTAINER</t>
  </si>
  <si>
    <t xml:space="preserve">Urine cup + petri dishes</t>
  </si>
  <si>
    <t xml:space="preserve">URINE CUP | PETRI DISH</t>
  </si>
  <si>
    <t xml:space="preserve">Pipette tips + dropper bottle</t>
  </si>
  <si>
    <t xml:space="preserve">PIPETTE TIPS | DROPPER BOTTLE</t>
  </si>
  <si>
    <t xml:space="preserve">3-way stopcock + luer connectors</t>
  </si>
  <si>
    <t xml:space="preserve">LUER CONNECTORS | 3-WAY STOPCOCK</t>
  </si>
  <si>
    <t xml:space="preserve">AI Image + Ken Burns</t>
  </si>
  <si>
    <t xml:space="preserve">Flat lay of all products</t>
  </si>
  <si>
    <t xml:space="preserve">PRECISION. EVERY PART. EVERY TIME.</t>
  </si>
  <si>
    <t xml:space="preserve">Optional (real products on table)</t>
  </si>
  <si>
    <t xml:space="preserve">Gloved hands QC inspection</t>
  </si>
  <si>
    <t xml:space="preserve">QUALITY INSPECTION</t>
  </si>
  <si>
    <t xml:space="preserve">YES — your QC / showroom</t>
  </si>
  <si>
    <t xml:space="preserve">DG machine reprise</t>
  </si>
  <si>
    <t xml:space="preserve">YES — machine running</t>
  </si>
  <si>
    <t xml:space="preserve">Nurse with syringe, hospital</t>
  </si>
  <si>
    <t xml:space="preserve">Doctor + holographic screens</t>
  </si>
  <si>
    <t xml:space="preserve">Outro: DG logo, tagline, phones, head office</t>
  </si>
  <si>
    <t xml:space="preserve">Total (s)</t>
  </si>
  <si>
    <t xml:space="preserve">Urdu Voiceover — DG Tech Machinery</t>
  </si>
  <si>
    <t xml:space="preserve">Voice: ElevenLabs v4 (preset 'Grady', male). Har line alag file; start time par lagi hai.</t>
  </si>
  <si>
    <t xml:space="preserve">Line</t>
  </si>
  <si>
    <t xml:space="preserve">Urdu</t>
  </si>
  <si>
    <t xml:space="preserve">English meaning</t>
  </si>
  <si>
    <t xml:space="preserve">ہر انجیکشن، ہر ٹیسٹ، ہر سانس… ایک قابلِ بھروسہ پلاسٹک پارٹ سے شروع ہوتی ہے۔</t>
  </si>
  <si>
    <t xml:space="preserve">Every injection, every test, every breath starts with a reliable plastic part.</t>
  </si>
  <si>
    <t xml:space="preserve">میڈیکل گریڈ خام مال سے لے کر، مکمل پروڈکٹ تک۔</t>
  </si>
  <si>
    <t xml:space="preserve">From medical-grade raw material to finished product.</t>
  </si>
  <si>
    <t xml:space="preserve">ڈی جی ٹیک مشینری لاتی ہے جدید انجیکشن مولڈنگ مشینیں، تیز، درست، اور بجلی کی بچت کے ساتھ۔</t>
  </si>
  <si>
    <t xml:space="preserve">DG Tech Machinery brings modern injection molding machines — fast, precise, energy-saving.</t>
  </si>
  <si>
    <t xml:space="preserve">A</t>
  </si>
  <si>
    <t xml:space="preserve">ہائی پریسیژن مولڈز، روبوٹک آٹومیشن، اور کلین روم پروڈکشن۔</t>
  </si>
  <si>
    <t xml:space="preserve">High-precision moulds, robotic automation and clean-room production.</t>
  </si>
  <si>
    <t xml:space="preserve">سرنج، آکسیجن ماسک، یورین کپ، پیٹری ڈش، پپیٹ ٹپس، اور لیور کنیکٹرز۔</t>
  </si>
  <si>
    <t xml:space="preserve">Syringes, oxygen masks, urine cups, petri dishes, pipette tips and luer connectors.</t>
  </si>
  <si>
    <t xml:space="preserve">ہر پارٹ، ہر بار، بالکل ایک جیسا۔</t>
  </si>
  <si>
    <t xml:space="preserve">Every part, every time, exactly the same.</t>
  </si>
  <si>
    <t xml:space="preserve">مشین سے لے کر مولڈ اور انسٹالیشن تک، مکمل سلوشن، ایک ہی چھت تلے۔</t>
  </si>
  <si>
    <t xml:space="preserve">From machine to mould and installation — a complete solution under one roof.</t>
  </si>
  <si>
    <t xml:space="preserve">کیونکہ صحت کے معاملے میں، معیار پر کوئی سمجھوتہ نہیں۔</t>
  </si>
  <si>
    <t xml:space="preserve">Because in healthcare, there is no compromise on quality.</t>
  </si>
  <si>
    <t xml:space="preserve">ڈی جی ٹیک مشینری، پاکستان کا ٹاپ سیلنگ اور قابلِ اعتماد برانڈ۔ آج ہی رابطہ کریں۔</t>
  </si>
  <si>
    <t xml:space="preserve">DG Tech Machinery — Pakistan's top selling &amp; trusted brand. Contact us today.</t>
  </si>
  <si>
    <t xml:space="preserve">Check: Scene 6 line says DG provides mould + installation. Agar yeh service nahi dete to batayein, line badal denge.</t>
  </si>
  <si>
    <t xml:space="preserve">Original B-Roll — DG Tech Machinery se chahiye</t>
  </si>
  <si>
    <t xml:space="preserve">Inse AI shots replace honge (video aur asli lagegi). Phone 4K/30fps, landscape, har shot 8–10 s, steady.</t>
  </si>
  <si>
    <t xml:space="preserve">What to shoot</t>
  </si>
  <si>
    <t xml:space="preserve">Angle</t>
  </si>
  <si>
    <t xml:space="preserve">Your file name</t>
  </si>
  <si>
    <t xml:space="preserve">Received?</t>
  </si>
  <si>
    <t xml:space="preserve">5 + 18</t>
  </si>
  <si>
    <t xml:space="preserve">Aapki EPIII UPVC Plus machine chalte hue — wide shot, DG logo saaf dikhe</t>
  </si>
  <si>
    <t xml:space="preserve">Slow walk-in / gimbal, 3/4 angle</t>
  </si>
  <si>
    <t xml:space="preserve">7</t>
  </si>
  <si>
    <t xml:space="preserve">Mould khulna + parts girna (koi bhi medical part ho to best)</t>
  </si>
  <si>
    <t xml:space="preserve">Tripod, safety door ke paas, close</t>
  </si>
  <si>
    <t xml:space="preserve">8</t>
  </si>
  <si>
    <t xml:space="preserve">Robot / manipulator parts uthata hua (agar hai)</t>
  </si>
  <si>
    <t xml:space="preserve">Side angle, static</t>
  </si>
  <si>
    <t xml:space="preserve">17</t>
  </si>
  <si>
    <t xml:space="preserve">Gloved hands parts check karte hue (showroom / customer factory)</t>
  </si>
  <si>
    <t xml:space="preserve">Close-up, 45°</t>
  </si>
  <si>
    <t xml:space="preserve">16</t>
  </si>
  <si>
    <t xml:space="preserve">Asli products ek white table par (syringe, cup, mask, tips)</t>
  </si>
  <si>
    <t xml:space="preserve">Top-down, slow push</t>
  </si>
  <si>
    <t xml:space="preserve">Extra</t>
  </si>
  <si>
    <t xml:space="preserve">Control panel / HMI screen pe cycle chalte hue</t>
  </si>
  <si>
    <t xml:space="preserve">Close, static</t>
  </si>
  <si>
    <t xml:space="preserve">Showroom / office front with DG signboard</t>
  </si>
  <si>
    <t xml:space="preserve">Wide, slow pan</t>
  </si>
  <si>
    <t xml:space="preserve">Received</t>
  </si>
  <si>
    <t xml:space="preserve">Reference (Hi Tech) video ke B-rolls use nahi kiye: unpar Hi Tech ka logo har frame mein hai aur woh unki copyrighted footage hai. Unki jagah wahi shots AI se DG branding mein banaye.</t>
  </si>
  <si>
    <t xml:space="preserve">Higgsfield Credits</t>
  </si>
  <si>
    <t xml:space="preserve">Approx. Start balance 675.75.</t>
  </si>
  <si>
    <t xml:space="preserve">Item</t>
  </si>
  <si>
    <t xml:space="preserve">Qty</t>
  </si>
  <si>
    <t xml:space="preserve">Credits each</t>
  </si>
  <si>
    <t xml:space="preserve">Total</t>
  </si>
  <si>
    <t xml:space="preserve">GPT Image 2.5 stills</t>
  </si>
  <si>
    <t xml:space="preserve">Kling 3.0 Pro 5s (1080p)</t>
  </si>
  <si>
    <t xml:space="preserve">Kling 3.0 4K 5s</t>
  </si>
  <si>
    <t xml:space="preserve">ElevenLabs v4 Urdu lines</t>
  </si>
  <si>
    <t xml:space="preserve">Remaining ≈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</si>
</sst>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2A5B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2A5B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D5"/>
      </left>
      <right style="thin">
        <color rgb="FFBFC7D5"/>
      </right>
      <top style="thin">
        <color rgb="FFBFC7D5"/>
      </top>
      <bottom style="thin">
        <color rgb="FFBFC7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7D5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2A5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9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48"/>
    <col collapsed="false" customWidth="true" hidden="false" outlineLevel="0" max="7" min="7" style="0" width="34"/>
    <col collapsed="false" customWidth="true" hidden="false" outlineLevel="0" max="9" min="8" style="0" width="2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n">
        <v>1</v>
      </c>
      <c r="B5" s="4" t="n">
        <v>0</v>
      </c>
      <c r="C5" s="4" t="n">
        <v>4</v>
      </c>
      <c r="D5" s="4" t="n">
        <f aca="false">C5-B5</f>
        <v>4</v>
      </c>
      <c r="E5" s="4" t="s">
        <v>11</v>
      </c>
      <c r="F5" s="4" t="s">
        <v>12</v>
      </c>
      <c r="G5" s="4" t="s">
        <v>13</v>
      </c>
      <c r="H5" s="4" t="s">
        <v>14</v>
      </c>
      <c r="I5" s="5"/>
    </row>
    <row r="6" customFormat="false" ht="15" hidden="false" customHeight="false" outlineLevel="0" collapsed="false">
      <c r="A6" s="4" t="n">
        <v>2</v>
      </c>
      <c r="B6" s="4" t="n">
        <v>4</v>
      </c>
      <c r="C6" s="4" t="n">
        <v>8.3</v>
      </c>
      <c r="D6" s="4" t="n">
        <f aca="false">C6-B6</f>
        <v>4.3</v>
      </c>
      <c r="E6" s="4" t="s">
        <v>11</v>
      </c>
      <c r="F6" s="4" t="s">
        <v>15</v>
      </c>
      <c r="G6" s="4" t="s">
        <v>13</v>
      </c>
      <c r="H6" s="4" t="s">
        <v>14</v>
      </c>
      <c r="I6" s="5"/>
    </row>
    <row r="7" customFormat="false" ht="15" hidden="false" customHeight="false" outlineLevel="0" collapsed="false">
      <c r="A7" s="4" t="n">
        <v>3</v>
      </c>
      <c r="B7" s="4" t="n">
        <v>8.3</v>
      </c>
      <c r="C7" s="4" t="n">
        <v>13</v>
      </c>
      <c r="D7" s="4" t="n">
        <f aca="false">C7-B7</f>
        <v>4.7</v>
      </c>
      <c r="E7" s="4" t="s">
        <v>11</v>
      </c>
      <c r="F7" s="4" t="s">
        <v>16</v>
      </c>
      <c r="G7" s="4" t="s">
        <v>17</v>
      </c>
      <c r="H7" s="4" t="s">
        <v>18</v>
      </c>
      <c r="I7" s="5"/>
    </row>
    <row r="8" customFormat="false" ht="23.85" hidden="false" customHeight="false" outlineLevel="0" collapsed="false">
      <c r="A8" s="4" t="n">
        <v>4</v>
      </c>
      <c r="B8" s="4" t="n">
        <v>13</v>
      </c>
      <c r="C8" s="4" t="n">
        <v>16</v>
      </c>
      <c r="D8" s="4" t="n">
        <f aca="false">C8-B8</f>
        <v>3</v>
      </c>
      <c r="E8" s="4" t="s">
        <v>19</v>
      </c>
      <c r="F8" s="4" t="s">
        <v>20</v>
      </c>
      <c r="G8" s="4" t="s">
        <v>21</v>
      </c>
      <c r="H8" s="4" t="s">
        <v>14</v>
      </c>
      <c r="I8" s="5"/>
    </row>
    <row r="9" customFormat="false" ht="23.85" hidden="false" customHeight="false" outlineLevel="0" collapsed="false">
      <c r="A9" s="4" t="n">
        <v>5</v>
      </c>
      <c r="B9" s="4" t="n">
        <v>16</v>
      </c>
      <c r="C9" s="4" t="n">
        <v>21</v>
      </c>
      <c r="D9" s="4" t="n">
        <f aca="false">C9-B9</f>
        <v>5</v>
      </c>
      <c r="E9" s="4" t="s">
        <v>22</v>
      </c>
      <c r="F9" s="4" t="s">
        <v>23</v>
      </c>
      <c r="G9" s="4" t="s">
        <v>24</v>
      </c>
      <c r="H9" s="4" t="s">
        <v>25</v>
      </c>
      <c r="I9" s="5"/>
    </row>
    <row r="10" customFormat="false" ht="23.85" hidden="false" customHeight="false" outlineLevel="0" collapsed="false">
      <c r="A10" s="4" t="n">
        <v>6</v>
      </c>
      <c r="B10" s="4" t="n">
        <v>21</v>
      </c>
      <c r="C10" s="4" t="n">
        <v>24.5</v>
      </c>
      <c r="D10" s="4" t="n">
        <f aca="false">C10-B10</f>
        <v>3.5</v>
      </c>
      <c r="E10" s="4" t="s">
        <v>19</v>
      </c>
      <c r="F10" s="4" t="s">
        <v>26</v>
      </c>
      <c r="G10" s="4" t="s">
        <v>21</v>
      </c>
      <c r="H10" s="4" t="s">
        <v>14</v>
      </c>
      <c r="I10" s="5"/>
    </row>
    <row r="11" customFormat="false" ht="23.85" hidden="false" customHeight="false" outlineLevel="0" collapsed="false">
      <c r="A11" s="4" t="n">
        <v>7</v>
      </c>
      <c r="B11" s="4" t="n">
        <v>24.5</v>
      </c>
      <c r="C11" s="4" t="n">
        <v>28.5</v>
      </c>
      <c r="D11" s="4" t="n">
        <f aca="false">C11-B11</f>
        <v>4</v>
      </c>
      <c r="E11" s="4" t="s">
        <v>22</v>
      </c>
      <c r="F11" s="4" t="s">
        <v>27</v>
      </c>
      <c r="G11" s="4" t="s">
        <v>28</v>
      </c>
      <c r="H11" s="4" t="s">
        <v>29</v>
      </c>
      <c r="I11" s="5"/>
    </row>
    <row r="12" customFormat="false" ht="15" hidden="false" customHeight="false" outlineLevel="0" collapsed="false">
      <c r="A12" s="4" t="n">
        <v>8</v>
      </c>
      <c r="B12" s="4" t="n">
        <v>28.5</v>
      </c>
      <c r="C12" s="4" t="n">
        <v>32</v>
      </c>
      <c r="D12" s="4" t="n">
        <f aca="false">C12-B12</f>
        <v>3.5</v>
      </c>
      <c r="E12" s="4" t="s">
        <v>22</v>
      </c>
      <c r="F12" s="4" t="s">
        <v>30</v>
      </c>
      <c r="G12" s="4" t="s">
        <v>31</v>
      </c>
      <c r="H12" s="4" t="s">
        <v>32</v>
      </c>
      <c r="I12" s="5"/>
    </row>
    <row r="13" customFormat="false" ht="15" hidden="false" customHeight="false" outlineLevel="0" collapsed="false">
      <c r="A13" s="4" t="n">
        <v>9</v>
      </c>
      <c r="B13" s="4" t="n">
        <v>32</v>
      </c>
      <c r="C13" s="4" t="n">
        <v>35.5</v>
      </c>
      <c r="D13" s="4" t="n">
        <f aca="false">C13-B13</f>
        <v>3.5</v>
      </c>
      <c r="E13" s="4" t="s">
        <v>22</v>
      </c>
      <c r="F13" s="4" t="s">
        <v>33</v>
      </c>
      <c r="G13" s="4" t="s">
        <v>34</v>
      </c>
      <c r="H13" s="4" t="s">
        <v>35</v>
      </c>
      <c r="I13" s="5"/>
    </row>
    <row r="14" customFormat="false" ht="15" hidden="false" customHeight="false" outlineLevel="0" collapsed="false">
      <c r="A14" s="4" t="n">
        <v>10</v>
      </c>
      <c r="B14" s="4" t="n">
        <v>35.5</v>
      </c>
      <c r="C14" s="4" t="n">
        <v>39.5</v>
      </c>
      <c r="D14" s="4" t="n">
        <f aca="false">C14-B14</f>
        <v>4</v>
      </c>
      <c r="E14" s="4" t="s">
        <v>22</v>
      </c>
      <c r="F14" s="4" t="s">
        <v>36</v>
      </c>
      <c r="G14" s="4" t="s">
        <v>37</v>
      </c>
      <c r="H14" s="4" t="s">
        <v>14</v>
      </c>
      <c r="I14" s="5"/>
    </row>
    <row r="15" customFormat="false" ht="15" hidden="false" customHeight="false" outlineLevel="0" collapsed="false">
      <c r="A15" s="4" t="n">
        <v>11</v>
      </c>
      <c r="B15" s="4" t="n">
        <v>39.5</v>
      </c>
      <c r="C15" s="4" t="n">
        <v>41.3</v>
      </c>
      <c r="D15" s="4" t="n">
        <f aca="false">C15-B15</f>
        <v>1.8</v>
      </c>
      <c r="E15" s="4" t="s">
        <v>11</v>
      </c>
      <c r="F15" s="4" t="s">
        <v>38</v>
      </c>
      <c r="G15" s="4" t="s">
        <v>39</v>
      </c>
      <c r="H15" s="4" t="s">
        <v>14</v>
      </c>
      <c r="I15" s="5"/>
    </row>
    <row r="16" customFormat="false" ht="15" hidden="false" customHeight="false" outlineLevel="0" collapsed="false">
      <c r="A16" s="4" t="n">
        <v>12</v>
      </c>
      <c r="B16" s="4" t="n">
        <v>41.3</v>
      </c>
      <c r="C16" s="4" t="n">
        <v>43.3</v>
      </c>
      <c r="D16" s="4" t="n">
        <f aca="false">C16-B16</f>
        <v>2</v>
      </c>
      <c r="E16" s="4" t="s">
        <v>22</v>
      </c>
      <c r="F16" s="4" t="s">
        <v>40</v>
      </c>
      <c r="G16" s="4" t="s">
        <v>41</v>
      </c>
      <c r="H16" s="4" t="s">
        <v>14</v>
      </c>
      <c r="I16" s="5"/>
    </row>
    <row r="17" customFormat="false" ht="15" hidden="false" customHeight="false" outlineLevel="0" collapsed="false">
      <c r="A17" s="4" t="n">
        <v>13</v>
      </c>
      <c r="B17" s="4" t="n">
        <v>43.3</v>
      </c>
      <c r="C17" s="4" t="n">
        <v>45</v>
      </c>
      <c r="D17" s="4" t="n">
        <f aca="false">C17-B17</f>
        <v>1.7</v>
      </c>
      <c r="E17" s="4" t="s">
        <v>11</v>
      </c>
      <c r="F17" s="4" t="s">
        <v>42</v>
      </c>
      <c r="G17" s="4" t="s">
        <v>43</v>
      </c>
      <c r="H17" s="4" t="s">
        <v>14</v>
      </c>
      <c r="I17" s="5"/>
    </row>
    <row r="18" customFormat="false" ht="15" hidden="false" customHeight="false" outlineLevel="0" collapsed="false">
      <c r="A18" s="4" t="n">
        <v>14</v>
      </c>
      <c r="B18" s="4" t="n">
        <v>45</v>
      </c>
      <c r="C18" s="4" t="n">
        <v>46.5</v>
      </c>
      <c r="D18" s="4" t="n">
        <f aca="false">C18-B18</f>
        <v>1.5</v>
      </c>
      <c r="E18" s="4" t="s">
        <v>11</v>
      </c>
      <c r="F18" s="4" t="s">
        <v>44</v>
      </c>
      <c r="G18" s="4" t="s">
        <v>45</v>
      </c>
      <c r="H18" s="4" t="s">
        <v>14</v>
      </c>
      <c r="I18" s="5"/>
    </row>
    <row r="19" customFormat="false" ht="23.85" hidden="false" customHeight="false" outlineLevel="0" collapsed="false">
      <c r="A19" s="4" t="n">
        <v>15</v>
      </c>
      <c r="B19" s="4" t="n">
        <v>46.5</v>
      </c>
      <c r="C19" s="4" t="n">
        <v>48.3</v>
      </c>
      <c r="D19" s="4" t="n">
        <f aca="false">C19-B19</f>
        <v>1.8</v>
      </c>
      <c r="E19" s="4" t="s">
        <v>11</v>
      </c>
      <c r="F19" s="4" t="s">
        <v>46</v>
      </c>
      <c r="G19" s="4" t="s">
        <v>47</v>
      </c>
      <c r="H19" s="4" t="s">
        <v>14</v>
      </c>
      <c r="I19" s="5"/>
    </row>
    <row r="20" customFormat="false" ht="23.85" hidden="false" customHeight="false" outlineLevel="0" collapsed="false">
      <c r="A20" s="4" t="n">
        <v>16</v>
      </c>
      <c r="B20" s="4" t="n">
        <v>48.3</v>
      </c>
      <c r="C20" s="4" t="n">
        <v>52.9</v>
      </c>
      <c r="D20" s="4" t="n">
        <f aca="false">C20-B20</f>
        <v>4.6</v>
      </c>
      <c r="E20" s="4" t="s">
        <v>48</v>
      </c>
      <c r="F20" s="4" t="s">
        <v>49</v>
      </c>
      <c r="G20" s="4" t="s">
        <v>50</v>
      </c>
      <c r="H20" s="4" t="s">
        <v>51</v>
      </c>
      <c r="I20" s="5"/>
    </row>
    <row r="21" customFormat="false" ht="15" hidden="false" customHeight="false" outlineLevel="0" collapsed="false">
      <c r="A21" s="4" t="n">
        <v>17</v>
      </c>
      <c r="B21" s="4" t="n">
        <v>52.9</v>
      </c>
      <c r="C21" s="4" t="n">
        <v>56.4</v>
      </c>
      <c r="D21" s="4" t="n">
        <f aca="false">C21-B21</f>
        <v>3.5</v>
      </c>
      <c r="E21" s="4" t="s">
        <v>22</v>
      </c>
      <c r="F21" s="4" t="s">
        <v>52</v>
      </c>
      <c r="G21" s="4" t="s">
        <v>53</v>
      </c>
      <c r="H21" s="4" t="s">
        <v>54</v>
      </c>
      <c r="I21" s="5"/>
    </row>
    <row r="22" customFormat="false" ht="15" hidden="false" customHeight="false" outlineLevel="0" collapsed="false">
      <c r="A22" s="4" t="n">
        <v>18</v>
      </c>
      <c r="B22" s="4" t="n">
        <v>56.4</v>
      </c>
      <c r="C22" s="4" t="n">
        <v>59.8</v>
      </c>
      <c r="D22" s="4" t="n">
        <f aca="false">C22-B22</f>
        <v>3.4</v>
      </c>
      <c r="E22" s="4" t="s">
        <v>22</v>
      </c>
      <c r="F22" s="4" t="s">
        <v>55</v>
      </c>
      <c r="G22" s="4" t="s">
        <v>13</v>
      </c>
      <c r="H22" s="4" t="s">
        <v>56</v>
      </c>
      <c r="I22" s="5"/>
    </row>
    <row r="23" customFormat="false" ht="15" hidden="false" customHeight="false" outlineLevel="0" collapsed="false">
      <c r="A23" s="4" t="n">
        <v>19</v>
      </c>
      <c r="B23" s="4" t="n">
        <v>59.8</v>
      </c>
      <c r="C23" s="4" t="n">
        <v>62.6</v>
      </c>
      <c r="D23" s="4" t="n">
        <f aca="false">C23-B23</f>
        <v>2.8</v>
      </c>
      <c r="E23" s="4" t="s">
        <v>11</v>
      </c>
      <c r="F23" s="4" t="s">
        <v>57</v>
      </c>
      <c r="G23" s="4" t="s">
        <v>13</v>
      </c>
      <c r="H23" s="4" t="s">
        <v>14</v>
      </c>
      <c r="I23" s="5"/>
    </row>
    <row r="24" customFormat="false" ht="15" hidden="false" customHeight="false" outlineLevel="0" collapsed="false">
      <c r="A24" s="4" t="n">
        <v>20</v>
      </c>
      <c r="B24" s="4" t="n">
        <v>62.6</v>
      </c>
      <c r="C24" s="4" t="n">
        <v>65.5</v>
      </c>
      <c r="D24" s="4" t="n">
        <f aca="false">C24-B24</f>
        <v>2.9</v>
      </c>
      <c r="E24" s="4" t="s">
        <v>22</v>
      </c>
      <c r="F24" s="4" t="s">
        <v>58</v>
      </c>
      <c r="G24" s="4" t="s">
        <v>13</v>
      </c>
      <c r="H24" s="4" t="s">
        <v>14</v>
      </c>
      <c r="I24" s="5"/>
    </row>
    <row r="25" customFormat="false" ht="15" hidden="false" customHeight="false" outlineLevel="0" collapsed="false">
      <c r="A25" s="4" t="n">
        <v>21</v>
      </c>
      <c r="B25" s="4" t="n">
        <v>65.5</v>
      </c>
      <c r="C25" s="4" t="n">
        <v>75</v>
      </c>
      <c r="D25" s="4" t="n">
        <f aca="false">C25-B25</f>
        <v>9.5</v>
      </c>
      <c r="E25" s="4" t="s">
        <v>19</v>
      </c>
      <c r="F25" s="4" t="s">
        <v>59</v>
      </c>
      <c r="G25" s="4" t="s">
        <v>21</v>
      </c>
      <c r="H25" s="4" t="s">
        <v>14</v>
      </c>
      <c r="I25" s="5"/>
    </row>
    <row r="27" customFormat="false" ht="15" hidden="false" customHeight="false" outlineLevel="0" collapsed="false">
      <c r="C27" s="6" t="s">
        <v>60</v>
      </c>
      <c r="D27" s="6" t="n">
        <f aca="false">SUM(D5:D25)</f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70"/>
    <col collapsed="false" customWidth="true" hidden="false" outlineLevel="0" max="4" min="4" style="0" width="60"/>
  </cols>
  <sheetData>
    <row r="1" customFormat="false" ht="19.7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15" hidden="false" customHeight="false" outlineLevel="0" collapsed="false">
      <c r="A4" s="3" t="s">
        <v>63</v>
      </c>
      <c r="B4" s="3" t="s">
        <v>3</v>
      </c>
      <c r="C4" s="3" t="s">
        <v>64</v>
      </c>
      <c r="D4" s="3" t="s">
        <v>65</v>
      </c>
    </row>
    <row r="5" customFormat="false" ht="15" hidden="false" customHeight="false" outlineLevel="0" collapsed="false">
      <c r="A5" s="4" t="n">
        <v>1</v>
      </c>
      <c r="B5" s="4" t="n">
        <v>0.5</v>
      </c>
      <c r="C5" s="7" t="s">
        <v>66</v>
      </c>
      <c r="D5" s="4" t="s">
        <v>67</v>
      </c>
    </row>
    <row r="6" customFormat="false" ht="15" hidden="false" customHeight="false" outlineLevel="0" collapsed="false">
      <c r="A6" s="4" t="n">
        <v>2</v>
      </c>
      <c r="B6" s="4" t="n">
        <v>8.6</v>
      </c>
      <c r="C6" s="7" t="s">
        <v>68</v>
      </c>
      <c r="D6" s="4" t="s">
        <v>69</v>
      </c>
    </row>
    <row r="7" customFormat="false" ht="23.85" hidden="false" customHeight="false" outlineLevel="0" collapsed="false">
      <c r="A7" s="4" t="n">
        <v>3</v>
      </c>
      <c r="B7" s="4" t="n">
        <v>16.2</v>
      </c>
      <c r="C7" s="7" t="s">
        <v>70</v>
      </c>
      <c r="D7" s="4" t="s">
        <v>71</v>
      </c>
    </row>
    <row r="8" customFormat="false" ht="15" hidden="false" customHeight="false" outlineLevel="0" collapsed="false">
      <c r="A8" s="4" t="s">
        <v>72</v>
      </c>
      <c r="B8" s="4" t="n">
        <v>24.8</v>
      </c>
      <c r="C8" s="7" t="s">
        <v>73</v>
      </c>
      <c r="D8" s="4" t="s">
        <v>74</v>
      </c>
    </row>
    <row r="9" customFormat="false" ht="23.85" hidden="false" customHeight="false" outlineLevel="0" collapsed="false">
      <c r="A9" s="4" t="n">
        <v>4</v>
      </c>
      <c r="B9" s="4" t="n">
        <v>39.6</v>
      </c>
      <c r="C9" s="7" t="s">
        <v>75</v>
      </c>
      <c r="D9" s="4" t="s">
        <v>76</v>
      </c>
    </row>
    <row r="10" customFormat="false" ht="15" hidden="false" customHeight="false" outlineLevel="0" collapsed="false">
      <c r="A10" s="4" t="n">
        <v>5</v>
      </c>
      <c r="B10" s="4" t="n">
        <v>48.5</v>
      </c>
      <c r="C10" s="7" t="s">
        <v>77</v>
      </c>
      <c r="D10" s="4" t="s">
        <v>78</v>
      </c>
    </row>
    <row r="11" customFormat="false" ht="23.85" hidden="false" customHeight="false" outlineLevel="0" collapsed="false">
      <c r="A11" s="4" t="n">
        <v>6</v>
      </c>
      <c r="B11" s="4" t="n">
        <v>53.3</v>
      </c>
      <c r="C11" s="7" t="s">
        <v>79</v>
      </c>
      <c r="D11" s="4" t="s">
        <v>80</v>
      </c>
    </row>
    <row r="12" customFormat="false" ht="15" hidden="false" customHeight="false" outlineLevel="0" collapsed="false">
      <c r="A12" s="4" t="n">
        <v>7</v>
      </c>
      <c r="B12" s="4" t="n">
        <v>60.2</v>
      </c>
      <c r="C12" s="7" t="s">
        <v>81</v>
      </c>
      <c r="D12" s="4" t="s">
        <v>82</v>
      </c>
    </row>
    <row r="13" customFormat="false" ht="23.85" hidden="false" customHeight="false" outlineLevel="0" collapsed="false">
      <c r="A13" s="4" t="n">
        <v>8</v>
      </c>
      <c r="B13" s="4" t="n">
        <v>66</v>
      </c>
      <c r="C13" s="7" t="s">
        <v>83</v>
      </c>
      <c r="D13" s="4" t="s">
        <v>84</v>
      </c>
    </row>
    <row r="15" customFormat="false" ht="15" hidden="false" customHeight="false" outlineLevel="0" collapsed="false">
      <c r="A15" s="8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11"/>
  </cols>
  <sheetData>
    <row r="1" customFormat="false" ht="19.7" hidden="false" customHeight="false" outlineLevel="0" collapsed="false">
      <c r="A1" s="1" t="s">
        <v>86</v>
      </c>
    </row>
    <row r="2" customFormat="false" ht="15" hidden="false" customHeight="false" outlineLevel="0" collapsed="false">
      <c r="A2" s="2" t="s">
        <v>87</v>
      </c>
    </row>
    <row r="4" customFormat="false" ht="15" hidden="false" customHeight="false" outlineLevel="0" collapsed="false">
      <c r="A4" s="3" t="s">
        <v>2</v>
      </c>
      <c r="B4" s="3" t="s">
        <v>88</v>
      </c>
      <c r="C4" s="3" t="s">
        <v>89</v>
      </c>
      <c r="D4" s="3" t="s">
        <v>90</v>
      </c>
      <c r="E4" s="3" t="s">
        <v>91</v>
      </c>
    </row>
    <row r="5" customFormat="false" ht="23.85" hidden="false" customHeight="false" outlineLevel="0" collapsed="false">
      <c r="A5" s="4" t="s">
        <v>92</v>
      </c>
      <c r="B5" s="4" t="s">
        <v>93</v>
      </c>
      <c r="C5" s="4" t="s">
        <v>94</v>
      </c>
      <c r="D5" s="5"/>
      <c r="E5" s="5" t="s">
        <v>14</v>
      </c>
    </row>
    <row r="6" customFormat="false" ht="15" hidden="false" customHeight="false" outlineLevel="0" collapsed="false">
      <c r="A6" s="4" t="s">
        <v>95</v>
      </c>
      <c r="B6" s="4" t="s">
        <v>96</v>
      </c>
      <c r="C6" s="4" t="s">
        <v>97</v>
      </c>
      <c r="D6" s="5"/>
      <c r="E6" s="5" t="s">
        <v>14</v>
      </c>
    </row>
    <row r="7" customFormat="false" ht="15" hidden="false" customHeight="false" outlineLevel="0" collapsed="false">
      <c r="A7" s="4" t="s">
        <v>98</v>
      </c>
      <c r="B7" s="4" t="s">
        <v>99</v>
      </c>
      <c r="C7" s="4" t="s">
        <v>100</v>
      </c>
      <c r="D7" s="5"/>
      <c r="E7" s="5" t="s">
        <v>14</v>
      </c>
    </row>
    <row r="8" customFormat="false" ht="15" hidden="false" customHeight="false" outlineLevel="0" collapsed="false">
      <c r="A8" s="4" t="s">
        <v>101</v>
      </c>
      <c r="B8" s="4" t="s">
        <v>102</v>
      </c>
      <c r="C8" s="4" t="s">
        <v>103</v>
      </c>
      <c r="D8" s="5"/>
      <c r="E8" s="5" t="s">
        <v>14</v>
      </c>
    </row>
    <row r="9" customFormat="false" ht="15" hidden="false" customHeight="false" outlineLevel="0" collapsed="false">
      <c r="A9" s="4" t="s">
        <v>104</v>
      </c>
      <c r="B9" s="4" t="s">
        <v>105</v>
      </c>
      <c r="C9" s="4" t="s">
        <v>106</v>
      </c>
      <c r="D9" s="5"/>
      <c r="E9" s="5" t="s">
        <v>14</v>
      </c>
    </row>
    <row r="10" customFormat="false" ht="15" hidden="false" customHeight="false" outlineLevel="0" collapsed="false">
      <c r="A10" s="4" t="s">
        <v>107</v>
      </c>
      <c r="B10" s="4" t="s">
        <v>108</v>
      </c>
      <c r="C10" s="4" t="s">
        <v>109</v>
      </c>
      <c r="D10" s="5"/>
      <c r="E10" s="5" t="s">
        <v>14</v>
      </c>
    </row>
    <row r="11" customFormat="false" ht="15" hidden="false" customHeight="false" outlineLevel="0" collapsed="false">
      <c r="A11" s="4" t="s">
        <v>107</v>
      </c>
      <c r="B11" s="4" t="s">
        <v>110</v>
      </c>
      <c r="C11" s="4" t="s">
        <v>111</v>
      </c>
      <c r="D11" s="5"/>
      <c r="E11" s="5" t="s">
        <v>14</v>
      </c>
    </row>
    <row r="13" customFormat="false" ht="15" hidden="false" customHeight="false" outlineLevel="0" collapsed="false">
      <c r="B13" s="6" t="s">
        <v>112</v>
      </c>
      <c r="E13" s="6" t="str">
        <f aca="false">COUNTIF(E5:E11,"Yes")&amp;" / "&amp;COUNTA(B5:B11)</f>
        <v>0 / 7</v>
      </c>
    </row>
    <row r="15" customFormat="false" ht="15" hidden="false" customHeight="false" outlineLevel="0" collapsed="false">
      <c r="B15" s="9" t="s">
        <v>113</v>
      </c>
    </row>
  </sheetData>
  <dataValidations count="1">
    <dataValidation allowBlank="false" errorStyle="stop" operator="between" showDropDown="false" showErrorMessage="false" showInputMessage="false" sqref="E5:E1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9.7" hidden="false" customHeight="false" outlineLevel="0" collapsed="false">
      <c r="A1" s="1" t="s">
        <v>114</v>
      </c>
    </row>
    <row r="2" customFormat="false" ht="15" hidden="false" customHeight="false" outlineLevel="0" collapsed="false">
      <c r="A2" s="2" t="s">
        <v>115</v>
      </c>
    </row>
    <row r="4" customFormat="false" ht="15" hidden="false" customHeight="false" outlineLevel="0" collapsed="false">
      <c r="A4" s="3" t="s">
        <v>116</v>
      </c>
      <c r="B4" s="3" t="s">
        <v>117</v>
      </c>
      <c r="C4" s="3" t="s">
        <v>118</v>
      </c>
      <c r="D4" s="3" t="s">
        <v>119</v>
      </c>
    </row>
    <row r="5" customFormat="false" ht="15" hidden="false" customHeight="false" outlineLevel="0" collapsed="false">
      <c r="A5" s="4" t="s">
        <v>120</v>
      </c>
      <c r="B5" s="4" t="n">
        <v>17</v>
      </c>
      <c r="C5" s="4" t="n">
        <v>0.25</v>
      </c>
      <c r="D5" s="10" t="n">
        <f aca="false">B5*C5</f>
        <v>4.25</v>
      </c>
    </row>
    <row r="6" customFormat="false" ht="15" hidden="false" customHeight="false" outlineLevel="0" collapsed="false">
      <c r="A6" s="4" t="s">
        <v>121</v>
      </c>
      <c r="B6" s="4" t="n">
        <v>8</v>
      </c>
      <c r="C6" s="4" t="n">
        <v>8.75</v>
      </c>
      <c r="D6" s="10" t="n">
        <f aca="false">B6*C6</f>
        <v>70</v>
      </c>
    </row>
    <row r="7" customFormat="false" ht="15" hidden="false" customHeight="false" outlineLevel="0" collapsed="false">
      <c r="A7" s="4" t="s">
        <v>122</v>
      </c>
      <c r="B7" s="4" t="n">
        <v>8</v>
      </c>
      <c r="C7" s="4" t="n">
        <v>30</v>
      </c>
      <c r="D7" s="10" t="n">
        <f aca="false">B7*C7</f>
        <v>240</v>
      </c>
    </row>
    <row r="8" customFormat="false" ht="15" hidden="false" customHeight="false" outlineLevel="0" collapsed="false">
      <c r="A8" s="4" t="s">
        <v>123</v>
      </c>
      <c r="B8" s="4" t="n">
        <v>11</v>
      </c>
      <c r="C8" s="4" t="n">
        <v>0.6</v>
      </c>
      <c r="D8" s="10" t="n">
        <f aca="false">B8*C8</f>
        <v>6.6</v>
      </c>
    </row>
    <row r="9" customFormat="false" ht="15" hidden="false" customHeight="false" outlineLevel="0" collapsed="false">
      <c r="C9" s="6" t="s">
        <v>119</v>
      </c>
      <c r="D9" s="6" t="n">
        <f aca="false">SUM(D5:D8)</f>
        <v>320.85</v>
      </c>
    </row>
    <row r="10" customFormat="false" ht="15" hidden="false" customHeight="false" outlineLevel="0" collapsed="false">
      <c r="C10" s="0" t="s">
        <v>124</v>
      </c>
      <c r="D10" s="0" t="n">
        <f aca="false">675.75-D9</f>
        <v>354.9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2026-10-30T13:22:31Z</dcterms:created>
  <dc:creator>openpyxl</dc:creator>
  <dc:description/>
  <dc:language>en-US</dc:language>
  <cp:lastModifiedBy/>
  <dcterms:modified xsi:type="dcterms:W3CDTF">2026-10-30T13:22:31Z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